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FireBlaze_Edu\Data Scientist\Module1-EXCEL-Content\"/>
    </mc:Choice>
  </mc:AlternateContent>
  <bookViews>
    <workbookView xWindow="0" yWindow="0" windowWidth="23040" windowHeight="9672"/>
  </bookViews>
  <sheets>
    <sheet name="PRACTICE" sheetId="1" r:id="rId1"/>
    <sheet name="Series" sheetId="12" r:id="rId2"/>
    <sheet name="TEXT Function" sheetId="4" r:id="rId3"/>
    <sheet name="STATISTICAL FUNCTION" sheetId="2" r:id="rId4"/>
    <sheet name="Conditional function" sheetId="3" r:id="rId5"/>
    <sheet name="DATE &amp; TIME FUNCTION" sheetId="5" r:id="rId6"/>
    <sheet name="LOOKUP &amp; VLOOKUP" sheetId="9" r:id="rId7"/>
    <sheet name="INDEX &amp; MATCH" sheetId="10" r:id="rId8"/>
  </sheets>
  <definedNames>
    <definedName name="_xlnm._FilterDatabase" localSheetId="0" hidden="1">PRACTICE!$C$5:$I$13</definedName>
    <definedName name="_xlnm._FilterDatabase" localSheetId="3" hidden="1">'STATISTICAL FUNCTION'!$B$3:$D$3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J75" i="9" l="1"/>
  <c r="K75" i="9"/>
  <c r="I75" i="9"/>
  <c r="K5" i="10" l="1"/>
  <c r="G24" i="1"/>
  <c r="G23" i="1"/>
  <c r="G29" i="1"/>
  <c r="G25" i="1"/>
  <c r="G20" i="1"/>
  <c r="G22" i="1"/>
  <c r="G27" i="1"/>
  <c r="G21" i="1"/>
  <c r="G26" i="1"/>
  <c r="G28" i="1"/>
</calcChain>
</file>

<file path=xl/sharedStrings.xml><?xml version="1.0" encoding="utf-8"?>
<sst xmlns="http://schemas.openxmlformats.org/spreadsheetml/2006/main" count="609" uniqueCount="329">
  <si>
    <t>Name</t>
  </si>
  <si>
    <t>Accountancy</t>
  </si>
  <si>
    <t>English</t>
  </si>
  <si>
    <t>Maths</t>
  </si>
  <si>
    <t>Economics</t>
  </si>
  <si>
    <t>Business Studies</t>
  </si>
  <si>
    <t>Akhilesh</t>
  </si>
  <si>
    <t>Ruchi</t>
  </si>
  <si>
    <t>Bhawna</t>
  </si>
  <si>
    <t>Chetan</t>
  </si>
  <si>
    <t>Neeti</t>
  </si>
  <si>
    <t>Chanchal</t>
  </si>
  <si>
    <t>Preeti</t>
  </si>
  <si>
    <t>Product</t>
  </si>
  <si>
    <t>Salesperson</t>
  </si>
  <si>
    <t>Region</t>
  </si>
  <si>
    <t>Sales</t>
  </si>
  <si>
    <t>Laptop</t>
  </si>
  <si>
    <t>North</t>
  </si>
  <si>
    <t>Mobile</t>
  </si>
  <si>
    <t>Mary Johnson</t>
  </si>
  <si>
    <t>South</t>
  </si>
  <si>
    <t>Tablet</t>
  </si>
  <si>
    <t>East</t>
  </si>
  <si>
    <t>Desktop</t>
  </si>
  <si>
    <t>West</t>
  </si>
  <si>
    <t>Sarah Miller</t>
  </si>
  <si>
    <t>David Clark</t>
  </si>
  <si>
    <t>Sr. No</t>
  </si>
  <si>
    <t>First Name</t>
  </si>
  <si>
    <t>Aarav</t>
  </si>
  <si>
    <t>Sharma</t>
  </si>
  <si>
    <t>Ishita</t>
  </si>
  <si>
    <t>Raj</t>
  </si>
  <si>
    <t>Singh</t>
  </si>
  <si>
    <t>Ananya</t>
  </si>
  <si>
    <t>Vikram</t>
  </si>
  <si>
    <t>Priya</t>
  </si>
  <si>
    <t>Mobile Number</t>
  </si>
  <si>
    <t>Middle Name</t>
  </si>
  <si>
    <t>Kumari</t>
  </si>
  <si>
    <t>Kunal</t>
  </si>
  <si>
    <t>Manoj</t>
  </si>
  <si>
    <t>Nitya</t>
  </si>
  <si>
    <t>Ravi</t>
  </si>
  <si>
    <t>Rohan</t>
  </si>
  <si>
    <t>Deepak</t>
  </si>
  <si>
    <t>Sneha</t>
  </si>
  <si>
    <t>Suresh</t>
  </si>
  <si>
    <t>Aditya</t>
  </si>
  <si>
    <t>Ramesh</t>
  </si>
  <si>
    <t>Devi</t>
  </si>
  <si>
    <t>ID</t>
  </si>
  <si>
    <t>WEST</t>
  </si>
  <si>
    <t>NOKIA</t>
  </si>
  <si>
    <t>EAST</t>
  </si>
  <si>
    <t>VIVO</t>
  </si>
  <si>
    <t>SOUTH</t>
  </si>
  <si>
    <t>OPPO</t>
  </si>
  <si>
    <t>CENTRAL</t>
  </si>
  <si>
    <t>NORTH</t>
  </si>
  <si>
    <t>RESULT</t>
  </si>
  <si>
    <t>PRODUCT</t>
  </si>
  <si>
    <t>AVERAGEIFS</t>
  </si>
  <si>
    <t>AVERAGEIF</t>
  </si>
  <si>
    <t>SUMIFS</t>
  </si>
  <si>
    <t>SUMIF</t>
  </si>
  <si>
    <t>COUNTIFS</t>
  </si>
  <si>
    <t>COUNTIF</t>
  </si>
  <si>
    <t>SALES</t>
  </si>
  <si>
    <t>Date</t>
  </si>
  <si>
    <t>Sales Qty</t>
  </si>
  <si>
    <t>Selling Price</t>
  </si>
  <si>
    <t>Total</t>
  </si>
  <si>
    <t>condition</t>
  </si>
  <si>
    <t>if</t>
  </si>
  <si>
    <t>if/and</t>
  </si>
  <si>
    <t>if/or</t>
  </si>
  <si>
    <t>ship-city</t>
  </si>
  <si>
    <t>UPPER</t>
  </si>
  <si>
    <t>LOWER</t>
  </si>
  <si>
    <t>PROPER</t>
  </si>
  <si>
    <t>LEFT</t>
  </si>
  <si>
    <t>RIGHT</t>
  </si>
  <si>
    <t>LEN</t>
  </si>
  <si>
    <t>CONCATENATE</t>
  </si>
  <si>
    <t>GURUGRAM</t>
  </si>
  <si>
    <t>THANJAVUR</t>
  </si>
  <si>
    <t>SANGLI MIRAJ KUPWAD</t>
  </si>
  <si>
    <t>BENGALURU</t>
  </si>
  <si>
    <t>VIJAYAwomenADA</t>
  </si>
  <si>
    <t>THIRUVANANTHAPURAM</t>
  </si>
  <si>
    <t>ARAKONAM</t>
  </si>
  <si>
    <t>GUWAHATI</t>
  </si>
  <si>
    <t>HYDERABAD</t>
  </si>
  <si>
    <t>NEW DELHI</t>
  </si>
  <si>
    <t>Bhubaneswar</t>
  </si>
  <si>
    <t>SIROHI</t>
  </si>
  <si>
    <t>MUMBAI</t>
  </si>
  <si>
    <t>AMRITSAR</t>
  </si>
  <si>
    <t>LUCKNOW</t>
  </si>
  <si>
    <t>MADURAI</t>
  </si>
  <si>
    <t>KolKAtA</t>
  </si>
  <si>
    <t>CONTACT</t>
  </si>
  <si>
    <t>Student ID</t>
  </si>
  <si>
    <t>Total Marks</t>
  </si>
  <si>
    <t xml:space="preserve"> (Math)</t>
  </si>
  <si>
    <t>(Science)</t>
  </si>
  <si>
    <t>(English)</t>
  </si>
  <si>
    <t>(History)</t>
  </si>
  <si>
    <t>COUNT</t>
  </si>
  <si>
    <t>COLUMNS</t>
  </si>
  <si>
    <t>Ankit</t>
  </si>
  <si>
    <t>SUM</t>
  </si>
  <si>
    <t>AVERAGE</t>
  </si>
  <si>
    <t>DIRECTION</t>
  </si>
  <si>
    <t>LG</t>
  </si>
  <si>
    <t>MIDDER</t>
  </si>
  <si>
    <t>DAY</t>
  </si>
  <si>
    <t>YEAR</t>
  </si>
  <si>
    <t>HOUR</t>
  </si>
  <si>
    <t>MINUTE</t>
  </si>
  <si>
    <t>SECOND</t>
  </si>
  <si>
    <t>B</t>
  </si>
  <si>
    <t>ADD DAYS</t>
  </si>
  <si>
    <t>LESS DAYS</t>
  </si>
  <si>
    <t>ADD MONTH</t>
  </si>
  <si>
    <t>LESS MONTH</t>
  </si>
  <si>
    <t>ADD YEAR</t>
  </si>
  <si>
    <t>LESS YEAR</t>
  </si>
  <si>
    <t>VLookUP</t>
  </si>
  <si>
    <t>QUANTITY</t>
  </si>
  <si>
    <t>AMOUNT</t>
  </si>
  <si>
    <t>CLOTH</t>
  </si>
  <si>
    <t>COSMETIC</t>
  </si>
  <si>
    <t>GROCERY</t>
  </si>
  <si>
    <t>MOBILE</t>
  </si>
  <si>
    <t>TELEVISION</t>
  </si>
  <si>
    <t>CATEGORY</t>
  </si>
  <si>
    <t>QTY</t>
  </si>
  <si>
    <t>Product 1</t>
  </si>
  <si>
    <t>A</t>
  </si>
  <si>
    <t>Product 2</t>
  </si>
  <si>
    <t>Product 3</t>
  </si>
  <si>
    <t>C</t>
  </si>
  <si>
    <t>Product 4</t>
  </si>
  <si>
    <t>Product 5</t>
  </si>
  <si>
    <t>DYNAMIC VLOOKUP</t>
  </si>
  <si>
    <t>Yash</t>
  </si>
  <si>
    <t>Age</t>
  </si>
  <si>
    <t>Exp</t>
  </si>
  <si>
    <t>Salary</t>
  </si>
  <si>
    <t>Shruti</t>
  </si>
  <si>
    <t>Prashant</t>
  </si>
  <si>
    <t>HLOOKUP</t>
  </si>
  <si>
    <t>COST</t>
  </si>
  <si>
    <t>DISCOUNT</t>
  </si>
  <si>
    <t>TOTAL</t>
  </si>
  <si>
    <t>Sr no</t>
  </si>
  <si>
    <t>LOOKUP</t>
  </si>
  <si>
    <t>Product ID</t>
  </si>
  <si>
    <t>Category</t>
  </si>
  <si>
    <t>Sub-Category</t>
  </si>
  <si>
    <t>TEC-AC-1</t>
  </si>
  <si>
    <t>Technology</t>
  </si>
  <si>
    <t>Accesesories</t>
  </si>
  <si>
    <t>headphone</t>
  </si>
  <si>
    <t>TEC-AC-2</t>
  </si>
  <si>
    <t>Furniture</t>
  </si>
  <si>
    <t>Chairs</t>
  </si>
  <si>
    <t>wooden</t>
  </si>
  <si>
    <t>TEC-AC-3</t>
  </si>
  <si>
    <t>Phones</t>
  </si>
  <si>
    <t>iphone</t>
  </si>
  <si>
    <t>TEC-AC-4</t>
  </si>
  <si>
    <t>mi</t>
  </si>
  <si>
    <t>TEC-AC-5</t>
  </si>
  <si>
    <t>Copiers</t>
  </si>
  <si>
    <t>machine</t>
  </si>
  <si>
    <t>TEC-AC-6</t>
  </si>
  <si>
    <t>TEC-AC-7</t>
  </si>
  <si>
    <t>TEC-AC-8</t>
  </si>
  <si>
    <t>Tables</t>
  </si>
  <si>
    <t>steel</t>
  </si>
  <si>
    <t>TEC-AC-9</t>
  </si>
  <si>
    <t>Office Supplies</t>
  </si>
  <si>
    <t>Binders</t>
  </si>
  <si>
    <t>usha</t>
  </si>
  <si>
    <t>TEC-AC-10</t>
  </si>
  <si>
    <t>TEC-AC-11</t>
  </si>
  <si>
    <t>Supplies</t>
  </si>
  <si>
    <t>tata</t>
  </si>
  <si>
    <t>TEC-AC-12</t>
  </si>
  <si>
    <t>TEC-AC-13</t>
  </si>
  <si>
    <t>TEC-AC-14</t>
  </si>
  <si>
    <t>TEC-AC-15</t>
  </si>
  <si>
    <t>Appliances</t>
  </si>
  <si>
    <t>fan</t>
  </si>
  <si>
    <t>TEC-AC-16</t>
  </si>
  <si>
    <t>TEC-AC-17</t>
  </si>
  <si>
    <t>Accessories</t>
  </si>
  <si>
    <t>tv</t>
  </si>
  <si>
    <t>TEC-AC-18</t>
  </si>
  <si>
    <t>TEC-AC-19</t>
  </si>
  <si>
    <t>TEC-AC-20</t>
  </si>
  <si>
    <t>TEC-AC-21</t>
  </si>
  <si>
    <t>TEC-AC-22</t>
  </si>
  <si>
    <t>INDEX &amp; MATCH</t>
  </si>
  <si>
    <t>XLOOKUP</t>
  </si>
  <si>
    <t>Row ID</t>
  </si>
  <si>
    <t>Ship Mode</t>
  </si>
  <si>
    <t>Customer ID</t>
  </si>
  <si>
    <t>Customer Name</t>
  </si>
  <si>
    <t>Segment</t>
  </si>
  <si>
    <t>City</t>
  </si>
  <si>
    <t>State</t>
  </si>
  <si>
    <t>Country</t>
  </si>
  <si>
    <t>Same Day</t>
  </si>
  <si>
    <t>RH-19495</t>
  </si>
  <si>
    <t>Rick Hansen</t>
  </si>
  <si>
    <t>Consumer</t>
  </si>
  <si>
    <t>New York City</t>
  </si>
  <si>
    <t>New York</t>
  </si>
  <si>
    <t>United States</t>
  </si>
  <si>
    <t>Second Class</t>
  </si>
  <si>
    <t>JR-16210</t>
  </si>
  <si>
    <t>Justin Ritter</t>
  </si>
  <si>
    <t>Corporate</t>
  </si>
  <si>
    <t>Wollongong</t>
  </si>
  <si>
    <t>New South Wales</t>
  </si>
  <si>
    <t>Australia</t>
  </si>
  <si>
    <t>First Class</t>
  </si>
  <si>
    <t>CR-12730</t>
  </si>
  <si>
    <t>Craig Reiter</t>
  </si>
  <si>
    <t>Brisbane</t>
  </si>
  <si>
    <t>Queensland</t>
  </si>
  <si>
    <t>KM-16375</t>
  </si>
  <si>
    <t>Katherine Murray</t>
  </si>
  <si>
    <t>Home Office</t>
  </si>
  <si>
    <t>Berlin</t>
  </si>
  <si>
    <t>Germany</t>
  </si>
  <si>
    <t>RH-9495</t>
  </si>
  <si>
    <t>Dakar</t>
  </si>
  <si>
    <t>Senegal</t>
  </si>
  <si>
    <t>JM-15655</t>
  </si>
  <si>
    <t>Jim Mitchum</t>
  </si>
  <si>
    <t>Sydney</t>
  </si>
  <si>
    <t>TS-21340</t>
  </si>
  <si>
    <t>Toby Swindell</t>
  </si>
  <si>
    <t>Porirua</t>
  </si>
  <si>
    <t>Wellington</t>
  </si>
  <si>
    <t>New Zealand</t>
  </si>
  <si>
    <t>Standard Class</t>
  </si>
  <si>
    <t>MB-18085</t>
  </si>
  <si>
    <t>Mick Brown</t>
  </si>
  <si>
    <t>Hamilton</t>
  </si>
  <si>
    <t>Waikato</t>
  </si>
  <si>
    <t>JW-15220</t>
  </si>
  <si>
    <t>Jane Waco</t>
  </si>
  <si>
    <t>Sacramento</t>
  </si>
  <si>
    <t>California</t>
  </si>
  <si>
    <t>JH-15985</t>
  </si>
  <si>
    <t>Joseph Holt</t>
  </si>
  <si>
    <t>Concord</t>
  </si>
  <si>
    <t>North Carolina</t>
  </si>
  <si>
    <t>GM-14695</t>
  </si>
  <si>
    <t>Greg Maxwell</t>
  </si>
  <si>
    <t>Alexandria</t>
  </si>
  <si>
    <t>Virginia</t>
  </si>
  <si>
    <t>AJ-10780</t>
  </si>
  <si>
    <t>Anthony Jacobs</t>
  </si>
  <si>
    <t>Kabul</t>
  </si>
  <si>
    <t>Afghanistan</t>
  </si>
  <si>
    <t>MM-7260</t>
  </si>
  <si>
    <t>Magdelene Morse</t>
  </si>
  <si>
    <t>Jizan</t>
  </si>
  <si>
    <t>Saudi Arabia</t>
  </si>
  <si>
    <t>VF-21715</t>
  </si>
  <si>
    <t>Vicky Freymann</t>
  </si>
  <si>
    <t>Toledo</t>
  </si>
  <si>
    <t>Parana</t>
  </si>
  <si>
    <t>Brazil</t>
  </si>
  <si>
    <t>PF-19120</t>
  </si>
  <si>
    <t>Peter Fuller</t>
  </si>
  <si>
    <t>Mudanjiang</t>
  </si>
  <si>
    <t>Heilongjiang</t>
  </si>
  <si>
    <t>China</t>
  </si>
  <si>
    <t>BP-11185</t>
  </si>
  <si>
    <t>Ben Peterman</t>
  </si>
  <si>
    <t>Paris</t>
  </si>
  <si>
    <t>Ile-de-France</t>
  </si>
  <si>
    <t>France</t>
  </si>
  <si>
    <t>TB-21175</t>
  </si>
  <si>
    <t>Thomas Boland</t>
  </si>
  <si>
    <t>Henderson</t>
  </si>
  <si>
    <t>Kentucky</t>
  </si>
  <si>
    <t>PJ-18835</t>
  </si>
  <si>
    <t>Patrick Jones</t>
  </si>
  <si>
    <t>Prato</t>
  </si>
  <si>
    <t>Tuscany</t>
  </si>
  <si>
    <t>Italy</t>
  </si>
  <si>
    <t>JS-15685</t>
  </si>
  <si>
    <t>Jim Sink</t>
  </si>
  <si>
    <t>Townsville</t>
  </si>
  <si>
    <t>ROWS</t>
  </si>
  <si>
    <t>Same Vlookup</t>
  </si>
  <si>
    <t>Auto Column VlookUp</t>
  </si>
  <si>
    <t>Multiple lookups values</t>
  </si>
  <si>
    <t>IMP</t>
  </si>
  <si>
    <t>PRODUCT POSITION</t>
  </si>
  <si>
    <t>Full Name</t>
  </si>
  <si>
    <t>nagpur</t>
  </si>
  <si>
    <t>John      Smith</t>
  </si>
  <si>
    <t>Mary    Johnson</t>
  </si>
  <si>
    <t>James     Brown</t>
  </si>
  <si>
    <t>Column1</t>
  </si>
  <si>
    <t>Counting</t>
  </si>
  <si>
    <t>Day's Name</t>
  </si>
  <si>
    <t>Month Name</t>
  </si>
  <si>
    <t>Table</t>
  </si>
  <si>
    <t>Date Series</t>
  </si>
  <si>
    <t>Result</t>
  </si>
  <si>
    <t>Asus</t>
  </si>
  <si>
    <t>Multiple Vlookups values</t>
  </si>
  <si>
    <t>Helping columan</t>
  </si>
  <si>
    <t>Linda   Wilson</t>
  </si>
  <si>
    <t>Michael     Scott</t>
  </si>
  <si>
    <t>Emma     Davis</t>
  </si>
  <si>
    <t>John    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</si>
</sst>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[$-F400]h:mm:ss\ AM/PM"/>
    <numFmt numFmtId="166" formatCode="[$-F800]dddd\,\ mmmm\ dd\,\ yyyy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2"/>
      <color indexed="8"/>
      <name val="Calibri"/>
      <family val="2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9" fillId="0" borderId="0" applyNumberFormat="0" applyFill="0" applyBorder="0" applyProtection="0"/>
  </cellStyleXfs>
  <cellXfs count="126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2" borderId="1" xfId="0" applyFont="1" applyFill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3" fillId="4" borderId="1" xfId="1" applyNumberFormat="1" applyFont="1" applyBorder="1" applyAlignment="1">
      <alignment horizontal="center" vertical="center"/>
    </xf>
    <xf numFmtId="0" fontId="3" fillId="4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5" fillId="5" borderId="1" xfId="2" applyBorder="1" applyAlignment="1">
      <alignment horizontal="center"/>
    </xf>
    <xf numFmtId="0" fontId="7" fillId="5" borderId="1" xfId="2" applyFont="1" applyBorder="1" applyAlignment="1">
      <alignment horizontal="center"/>
    </xf>
    <xf numFmtId="0" fontId="12" fillId="5" borderId="1" xfId="2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5" borderId="1" xfId="2" applyFont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8" fontId="0" fillId="0" borderId="0" xfId="0" applyNumberFormat="1"/>
    <xf numFmtId="2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49" fontId="9" fillId="0" borderId="1" xfId="3" applyNumberFormat="1" applyFont="1" applyFill="1" applyBorder="1" applyAlignment="1"/>
    <xf numFmtId="0" fontId="10" fillId="0" borderId="1" xfId="0" applyFont="1" applyBorder="1"/>
    <xf numFmtId="49" fontId="15" fillId="3" borderId="1" xfId="3" applyNumberFormat="1" applyFont="1" applyFill="1" applyBorder="1" applyAlignment="1">
      <alignment horizontal="center"/>
    </xf>
    <xf numFmtId="49" fontId="9" fillId="0" borderId="0" xfId="3" applyNumberFormat="1" applyFont="1" applyFill="1" applyBorder="1" applyAlignme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49" fontId="15" fillId="3" borderId="1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49" fontId="9" fillId="0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49" fontId="15" fillId="3" borderId="1" xfId="3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49" fontId="15" fillId="3" borderId="1" xfId="3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165" fontId="0" fillId="0" borderId="0" xfId="0" applyNumberFormat="1"/>
    <xf numFmtId="164" fontId="0" fillId="0" borderId="0" xfId="0" applyNumberFormat="1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1" fillId="3" borderId="1" xfId="0" applyFont="1" applyFill="1" applyBorder="1"/>
    <xf numFmtId="2" fontId="0" fillId="0" borderId="5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166" fontId="0" fillId="0" borderId="0" xfId="0" applyNumberFormat="1"/>
    <xf numFmtId="0" fontId="0" fillId="0" borderId="1" xfId="0" applyNumberFormat="1" applyBorder="1" applyAlignment="1">
      <alignment horizontal="left"/>
    </xf>
    <xf numFmtId="0" fontId="0" fillId="0" borderId="8" xfId="0" applyNumberFormat="1" applyBorder="1" applyAlignment="1">
      <alignment horizontal="left"/>
    </xf>
    <xf numFmtId="49" fontId="9" fillId="0" borderId="11" xfId="3" applyNumberFormat="1" applyFont="1" applyFill="1" applyBorder="1" applyAlignment="1"/>
    <xf numFmtId="0" fontId="0" fillId="0" borderId="1" xfId="0" applyFont="1" applyBorder="1"/>
    <xf numFmtId="0" fontId="5" fillId="5" borderId="12" xfId="2" applyBorder="1" applyAlignment="1">
      <alignment horizontal="center"/>
    </xf>
    <xf numFmtId="0" fontId="5" fillId="5" borderId="2" xfId="2" applyBorder="1" applyAlignment="1">
      <alignment horizontal="center"/>
    </xf>
    <xf numFmtId="0" fontId="5" fillId="5" borderId="13" xfId="2" applyBorder="1" applyAlignment="1">
      <alignment horizontal="center"/>
    </xf>
    <xf numFmtId="0" fontId="5" fillId="5" borderId="3" xfId="2" applyBorder="1" applyAlignment="1">
      <alignment horizontal="center"/>
    </xf>
    <xf numFmtId="0" fontId="5" fillId="5" borderId="11" xfId="2" applyBorder="1" applyAlignment="1">
      <alignment horizontal="center"/>
    </xf>
    <xf numFmtId="0" fontId="7" fillId="5" borderId="4" xfId="2" applyFont="1" applyBorder="1" applyAlignment="1">
      <alignment horizontal="center"/>
    </xf>
    <xf numFmtId="0" fontId="7" fillId="5" borderId="5" xfId="2" applyFont="1" applyBorder="1" applyAlignment="1">
      <alignment horizontal="center"/>
    </xf>
    <xf numFmtId="0" fontId="7" fillId="5" borderId="6" xfId="2" applyFont="1" applyBorder="1" applyAlignment="1">
      <alignment horizontal="center"/>
    </xf>
    <xf numFmtId="0" fontId="5" fillId="5" borderId="7" xfId="2" applyBorder="1" applyAlignment="1">
      <alignment horizontal="center"/>
    </xf>
    <xf numFmtId="0" fontId="5" fillId="5" borderId="8" xfId="2" applyBorder="1" applyAlignment="1">
      <alignment horizontal="center"/>
    </xf>
    <xf numFmtId="0" fontId="5" fillId="5" borderId="9" xfId="2" applyBorder="1" applyAlignment="1">
      <alignment horizontal="center"/>
    </xf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49" fontId="15" fillId="3" borderId="1" xfId="3" applyNumberFormat="1" applyFont="1" applyFill="1" applyBorder="1" applyAlignment="1">
      <alignment horizontal="center"/>
    </xf>
    <xf numFmtId="49" fontId="15" fillId="3" borderId="3" xfId="3" applyNumberFormat="1" applyFont="1" applyFill="1" applyBorder="1" applyAlignment="1">
      <alignment horizontal="center"/>
    </xf>
    <xf numFmtId="49" fontId="15" fillId="3" borderId="10" xfId="3" applyNumberFormat="1" applyFont="1" applyFill="1" applyBorder="1" applyAlignment="1">
      <alignment horizontal="center"/>
    </xf>
    <xf numFmtId="49" fontId="15" fillId="3" borderId="2" xfId="3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</cellXfs>
  <cellStyles count="4">
    <cellStyle name="Accent2" xfId="1" builtinId="33"/>
    <cellStyle name="Good" xfId="2" builtinId="26"/>
    <cellStyle name="Normal" xfId="0" builtinId="0"/>
    <cellStyle name="Normal 2" xfId="3"/>
  </cellStyles>
  <dxfs count="42">
    <dxf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C5:J13" totalsRowShown="0" headerRowDxfId="41" dataDxfId="39" headerRowBorderDxfId="40" tableBorderDxfId="38" totalsRowBorderDxfId="37">
  <sortState ref="C6:J13">
    <sortCondition ref="C5"/>
  </sortState>
  <tableColumns count="8">
    <tableColumn id="1" name="Sr. No" dataDxfId="36"/>
    <tableColumn id="2" name="Name" dataDxfId="35" totalsRowDxfId="34"/>
    <tableColumn id="3" name="Accountancy" dataDxfId="33" totalsRowDxfId="32"/>
    <tableColumn id="4" name="English" dataDxfId="31" totalsRowDxfId="30"/>
    <tableColumn id="5" name="Maths" dataDxfId="29" totalsRowDxfId="28"/>
    <tableColumn id="6" name="Economics" dataDxfId="27" totalsRowDxfId="26"/>
    <tableColumn id="7" name="Business Studies" dataDxfId="25"/>
    <tableColumn id="8" name="Result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9:H29" totalsRowShown="0" headerRowDxfId="24" dataDxfId="22" headerRowBorderDxfId="23" tableBorderDxfId="21" totalsRowBorderDxfId="20">
  <tableColumns count="6">
    <tableColumn id="1" name="ID" dataDxfId="19"/>
    <tableColumn id="2" name="Product" dataDxfId="18"/>
    <tableColumn id="3" name="Salesperson" dataDxfId="17"/>
    <tableColumn id="4" name="Region" dataDxfId="16"/>
    <tableColumn id="5" name="Sales" dataDxfId="15">
      <calculatedColumnFormula>IF(Table2[[#This Row],[Sales]]&gt;10,Table2[[#This Row],[Sales]]+5000)</calculatedColumnFormula>
    </tableColumn>
    <tableColumn id="6" name="Column1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13:D20" totalsRowShown="0" headerRowDxfId="14" headerRowBorderDxfId="13" tableBorderDxfId="12" headerRowCellStyle="Good">
  <tableColumns count="3">
    <tableColumn id="1" name="PRODUCT" dataDxfId="11" dataCellStyle="Good"/>
    <tableColumn id="2" name="QUANTITY" dataDxfId="10" dataCellStyle="Good"/>
    <tableColumn id="3" name="AMOUNT" dataDxfId="9" dataCellStyle="Go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B24:D29" totalsRowShown="0" headerRowDxfId="8" headerRowBorderDxfId="7" tableBorderDxfId="6" totalsRowBorderDxfId="5" headerRowCellStyle="Good">
  <autoFilter ref="B24:D29"/>
  <tableColumns count="3">
    <tableColumn id="1" name="PRODUCT" dataDxfId="4" dataCellStyle="Good"/>
    <tableColumn id="2" name="QUANTITY" dataDxfId="3" dataCellStyle="Good"/>
    <tableColumn id="3" name="AMOUNT" dataDxfId="2" dataCellStyle="Go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2:S51"/>
  <sheetViews>
    <sheetView tabSelected="1" topLeftCell="J6" zoomScaleNormal="100" workbookViewId="0">
      <selection activeCell="O18" sqref="O18:O27"/>
    </sheetView>
  </sheetViews>
  <sheetFormatPr defaultRowHeight="14.4" x14ac:dyDescent="0.3"/>
  <cols>
    <col min="2" max="2" width="10.5546875" customWidth="1"/>
    <col min="3" max="3" width="6.77734375" customWidth="1"/>
    <col min="4" max="4" width="9.77734375" customWidth="1"/>
    <col min="5" max="5" width="13.6640625" customWidth="1"/>
    <col min="6" max="6" width="10.21875" customWidth="1"/>
    <col min="7" max="7" width="14.77734375" customWidth="1"/>
    <col min="8" max="8" width="21" bestFit="1" customWidth="1"/>
    <col min="9" max="9" width="15.6640625" customWidth="1"/>
    <col min="10" max="10" width="15" customWidth="1"/>
    <col min="11" max="11" width="16.6640625" customWidth="1"/>
    <col min="12" max="12" width="10.5546875" bestFit="1" customWidth="1"/>
    <col min="13" max="13" width="11.44140625" customWidth="1"/>
    <col min="14" max="14" width="14.5546875" customWidth="1"/>
    <col min="15" max="15" width="12.44140625" customWidth="1"/>
    <col min="16" max="16" width="9.21875" bestFit="1" customWidth="1"/>
    <col min="18" max="18" width="14.77734375" style="71" customWidth="1"/>
    <col min="19" max="19" width="8.88671875" style="71"/>
  </cols>
  <sheetData>
    <row r="2" spans="3:19" ht="16.2" customHeight="1" x14ac:dyDescent="0.3">
      <c r="D2" s="1"/>
      <c r="H2" s="80"/>
    </row>
    <row r="3" spans="3:19" x14ac:dyDescent="0.3">
      <c r="D3" s="39"/>
    </row>
    <row r="4" spans="3:19" x14ac:dyDescent="0.3">
      <c r="R4" s="72" t="s">
        <v>70</v>
      </c>
      <c r="S4" s="72" t="s">
        <v>16</v>
      </c>
    </row>
    <row r="5" spans="3:19" x14ac:dyDescent="0.3">
      <c r="C5" s="5" t="s">
        <v>28</v>
      </c>
      <c r="D5" s="6" t="s">
        <v>0</v>
      </c>
      <c r="E5" s="6" t="s">
        <v>1</v>
      </c>
      <c r="F5" s="6" t="s">
        <v>2</v>
      </c>
      <c r="G5" s="6" t="s">
        <v>3</v>
      </c>
      <c r="H5" s="6" t="s">
        <v>4</v>
      </c>
      <c r="I5" s="7" t="s">
        <v>5</v>
      </c>
      <c r="J5" s="74" t="s">
        <v>321</v>
      </c>
      <c r="P5" s="29">
        <v>45712</v>
      </c>
      <c r="R5" s="18">
        <v>43101</v>
      </c>
      <c r="S5" s="73">
        <v>50000</v>
      </c>
    </row>
    <row r="6" spans="3:19" x14ac:dyDescent="0.3">
      <c r="C6" s="9">
        <v>1</v>
      </c>
      <c r="D6" s="78" t="s">
        <v>6</v>
      </c>
      <c r="E6" s="81">
        <v>97</v>
      </c>
      <c r="F6" s="81">
        <v>36</v>
      </c>
      <c r="G6" s="81">
        <v>47</v>
      </c>
      <c r="H6" s="8">
        <v>13</v>
      </c>
      <c r="I6" s="10">
        <v>34</v>
      </c>
      <c r="J6" s="76"/>
      <c r="P6" s="29">
        <v>45713</v>
      </c>
      <c r="R6" s="18">
        <v>43108</v>
      </c>
      <c r="S6" s="73">
        <v>80000</v>
      </c>
    </row>
    <row r="7" spans="3:19" x14ac:dyDescent="0.3">
      <c r="C7" s="9">
        <v>2</v>
      </c>
      <c r="D7" s="78" t="s">
        <v>7</v>
      </c>
      <c r="E7" s="81">
        <v>69</v>
      </c>
      <c r="F7" s="81">
        <v>85</v>
      </c>
      <c r="G7" s="81">
        <v>86</v>
      </c>
      <c r="H7" s="8">
        <v>51</v>
      </c>
      <c r="I7" s="10">
        <v>53</v>
      </c>
      <c r="J7" s="77"/>
      <c r="P7" s="29">
        <v>45714</v>
      </c>
      <c r="R7" s="18">
        <v>43115</v>
      </c>
      <c r="S7" s="73">
        <v>60000</v>
      </c>
    </row>
    <row r="8" spans="3:19" x14ac:dyDescent="0.3">
      <c r="C8" s="9">
        <v>3</v>
      </c>
      <c r="D8" s="78" t="s">
        <v>8</v>
      </c>
      <c r="E8" s="81">
        <v>19</v>
      </c>
      <c r="F8" s="81">
        <v>72</v>
      </c>
      <c r="G8" s="81">
        <v>41</v>
      </c>
      <c r="H8" s="8">
        <v>53</v>
      </c>
      <c r="I8" s="10">
        <v>40</v>
      </c>
      <c r="J8" s="76"/>
      <c r="P8" s="29">
        <v>45715</v>
      </c>
      <c r="R8" s="18">
        <v>43122</v>
      </c>
      <c r="S8" s="73">
        <v>73333.333333333299</v>
      </c>
    </row>
    <row r="9" spans="3:19" x14ac:dyDescent="0.3">
      <c r="C9" s="9">
        <v>4</v>
      </c>
      <c r="D9" s="78" t="s">
        <v>112</v>
      </c>
      <c r="E9" s="81">
        <v>76</v>
      </c>
      <c r="F9" s="81">
        <v>63</v>
      </c>
      <c r="G9" s="81">
        <v>34</v>
      </c>
      <c r="H9" s="8">
        <v>28</v>
      </c>
      <c r="I9" s="10">
        <v>23</v>
      </c>
      <c r="J9" s="76"/>
      <c r="P9" s="29">
        <v>45716</v>
      </c>
      <c r="R9" s="18">
        <v>43129</v>
      </c>
      <c r="S9" s="73">
        <v>78333.333333333299</v>
      </c>
    </row>
    <row r="10" spans="3:19" x14ac:dyDescent="0.3">
      <c r="C10" s="9">
        <v>5</v>
      </c>
      <c r="D10" s="78" t="s">
        <v>9</v>
      </c>
      <c r="E10" s="81">
        <v>55</v>
      </c>
      <c r="F10" s="81">
        <v>31</v>
      </c>
      <c r="G10" s="81">
        <v>56</v>
      </c>
      <c r="H10" s="8">
        <v>99</v>
      </c>
      <c r="I10" s="10">
        <v>93</v>
      </c>
      <c r="J10" s="77"/>
      <c r="P10" s="29">
        <v>45717</v>
      </c>
      <c r="R10" s="18">
        <v>43136</v>
      </c>
      <c r="S10" s="73">
        <v>83333.333333333299</v>
      </c>
    </row>
    <row r="11" spans="3:19" x14ac:dyDescent="0.3">
      <c r="C11" s="9">
        <v>6</v>
      </c>
      <c r="D11" s="78" t="s">
        <v>10</v>
      </c>
      <c r="E11" s="81">
        <v>84</v>
      </c>
      <c r="F11" s="81">
        <v>57</v>
      </c>
      <c r="G11" s="81">
        <v>68</v>
      </c>
      <c r="H11" s="8">
        <v>30</v>
      </c>
      <c r="I11" s="10">
        <v>63</v>
      </c>
      <c r="J11" s="76"/>
      <c r="R11" s="18">
        <v>43143</v>
      </c>
      <c r="S11" s="73">
        <v>88333.333333333299</v>
      </c>
    </row>
    <row r="12" spans="3:19" x14ac:dyDescent="0.3">
      <c r="C12" s="9">
        <v>7</v>
      </c>
      <c r="D12" s="78" t="s">
        <v>11</v>
      </c>
      <c r="E12" s="81">
        <v>18</v>
      </c>
      <c r="F12" s="81">
        <v>23</v>
      </c>
      <c r="G12" s="81">
        <v>63</v>
      </c>
      <c r="H12" s="8">
        <v>31</v>
      </c>
      <c r="I12" s="10">
        <v>22</v>
      </c>
      <c r="J12" s="76"/>
      <c r="R12" s="18">
        <v>43150</v>
      </c>
      <c r="S12" s="73">
        <v>93333.333333333299</v>
      </c>
    </row>
    <row r="13" spans="3:19" x14ac:dyDescent="0.3">
      <c r="C13" s="11">
        <v>8</v>
      </c>
      <c r="D13" s="79" t="s">
        <v>12</v>
      </c>
      <c r="E13" s="82">
        <v>93</v>
      </c>
      <c r="F13" s="82">
        <v>93</v>
      </c>
      <c r="G13" s="82">
        <v>61</v>
      </c>
      <c r="H13" s="12">
        <v>93</v>
      </c>
      <c r="I13" s="13">
        <v>20</v>
      </c>
      <c r="J13" s="77"/>
      <c r="R13" s="18">
        <v>43157</v>
      </c>
      <c r="S13" s="73">
        <v>98333.333333333299</v>
      </c>
    </row>
    <row r="14" spans="3:19" x14ac:dyDescent="0.3">
      <c r="R14" s="18">
        <v>43164</v>
      </c>
      <c r="S14" s="73">
        <v>103333.33333333299</v>
      </c>
    </row>
    <row r="15" spans="3:19" x14ac:dyDescent="0.3">
      <c r="R15" s="18">
        <v>43171</v>
      </c>
      <c r="S15" s="73">
        <v>108333.33333333299</v>
      </c>
    </row>
    <row r="16" spans="3:19" x14ac:dyDescent="0.3">
      <c r="E16" s="1"/>
      <c r="F16" s="1"/>
      <c r="R16" s="18">
        <v>43178</v>
      </c>
      <c r="S16" s="73">
        <v>113333.33333333299</v>
      </c>
    </row>
    <row r="17" spans="3:19" x14ac:dyDescent="0.3">
      <c r="M17" s="3" t="s">
        <v>29</v>
      </c>
      <c r="N17" s="3" t="s">
        <v>39</v>
      </c>
      <c r="O17" s="70" t="s">
        <v>310</v>
      </c>
      <c r="R17" s="18">
        <v>43185</v>
      </c>
      <c r="S17" s="73">
        <v>118333.33333333299</v>
      </c>
    </row>
    <row r="18" spans="3:19" x14ac:dyDescent="0.3">
      <c r="M18" s="2" t="s">
        <v>30</v>
      </c>
      <c r="N18" s="2" t="s">
        <v>33</v>
      </c>
      <c r="R18" s="18">
        <v>43192</v>
      </c>
      <c r="S18" s="73">
        <v>123333.33333333299</v>
      </c>
    </row>
    <row r="19" spans="3:19" x14ac:dyDescent="0.3">
      <c r="C19" s="14" t="s">
        <v>52</v>
      </c>
      <c r="D19" s="15" t="s">
        <v>13</v>
      </c>
      <c r="E19" s="15" t="s">
        <v>14</v>
      </c>
      <c r="F19" s="15" t="s">
        <v>15</v>
      </c>
      <c r="G19" s="16" t="s">
        <v>16</v>
      </c>
      <c r="H19" s="15" t="s">
        <v>315</v>
      </c>
      <c r="K19" s="1"/>
      <c r="M19" s="2" t="s">
        <v>32</v>
      </c>
      <c r="N19" s="2" t="s">
        <v>40</v>
      </c>
      <c r="R19" s="18">
        <v>43199</v>
      </c>
      <c r="S19" s="73">
        <v>128333.33333333299</v>
      </c>
    </row>
    <row r="20" spans="3:19" x14ac:dyDescent="0.3">
      <c r="C20" s="9">
        <v>1</v>
      </c>
      <c r="D20" s="8" t="s">
        <v>17</v>
      </c>
      <c r="E20" s="8" t="s">
        <v>312</v>
      </c>
      <c r="F20" s="8" t="s">
        <v>18</v>
      </c>
      <c r="G20" s="57">
        <f ca="1">IF(Table2[[#This Row],[Sales]]&gt;10,Table2[[#This Row],[Sales]]+5000)</f>
        <v>6500</v>
      </c>
      <c r="H20" s="67" t="str">
        <f>TRIM(Table2[[#This Row],[Salesperson]])</f>
        <v>John Smith</v>
      </c>
      <c r="M20" s="2" t="s">
        <v>41</v>
      </c>
      <c r="N20" s="2" t="s">
        <v>42</v>
      </c>
      <c r="R20" s="18">
        <v>43206</v>
      </c>
      <c r="S20" s="73">
        <v>133333.33333333299</v>
      </c>
    </row>
    <row r="21" spans="3:19" x14ac:dyDescent="0.3">
      <c r="C21" s="9">
        <v>2</v>
      </c>
      <c r="D21" s="8" t="s">
        <v>19</v>
      </c>
      <c r="E21" s="8" t="s">
        <v>313</v>
      </c>
      <c r="F21" s="8" t="s">
        <v>21</v>
      </c>
      <c r="G21" s="10">
        <f ca="1">IF(Table2[[#This Row],[Sales]]&gt;10,Table2[[#This Row],[Sales]]+5000)</f>
        <v>6200</v>
      </c>
      <c r="H21" s="8"/>
      <c r="M21" s="2" t="s">
        <v>43</v>
      </c>
      <c r="N21" s="2" t="s">
        <v>44</v>
      </c>
      <c r="R21" s="18">
        <v>43213</v>
      </c>
      <c r="S21" s="73">
        <v>138333.33333333299</v>
      </c>
    </row>
    <row r="22" spans="3:19" x14ac:dyDescent="0.3">
      <c r="C22" s="9">
        <v>3</v>
      </c>
      <c r="D22" s="8" t="s">
        <v>22</v>
      </c>
      <c r="E22" s="8" t="s">
        <v>314</v>
      </c>
      <c r="F22" s="8" t="s">
        <v>23</v>
      </c>
      <c r="G22" s="10">
        <f ca="1">IF(Table2[[#This Row],[Sales]]&gt;10,Table2[[#This Row],[Sales]]+5000)</f>
        <v>5800</v>
      </c>
      <c r="H22" s="8"/>
      <c r="M22" s="2" t="s">
        <v>45</v>
      </c>
      <c r="N22" s="2" t="s">
        <v>46</v>
      </c>
      <c r="R22" s="18">
        <v>43220</v>
      </c>
      <c r="S22" s="73">
        <v>143333.33333333299</v>
      </c>
    </row>
    <row r="23" spans="3:19" x14ac:dyDescent="0.3">
      <c r="C23" s="9">
        <v>4</v>
      </c>
      <c r="D23" s="8" t="s">
        <v>24</v>
      </c>
      <c r="E23" s="8" t="s">
        <v>325</v>
      </c>
      <c r="F23" s="8" t="s">
        <v>25</v>
      </c>
      <c r="G23" s="10">
        <f ca="1">IF(Table2[[#This Row],[Sales]]&gt;10,Table2[[#This Row],[Sales]]+5000)</f>
        <v>7000</v>
      </c>
      <c r="H23" s="8"/>
      <c r="M23" s="2" t="s">
        <v>47</v>
      </c>
      <c r="N23" s="2" t="s">
        <v>48</v>
      </c>
      <c r="R23" s="18">
        <v>43227</v>
      </c>
      <c r="S23" s="73">
        <v>148333.33333333299</v>
      </c>
    </row>
    <row r="24" spans="3:19" x14ac:dyDescent="0.3">
      <c r="C24" s="9">
        <v>5</v>
      </c>
      <c r="D24" s="8" t="s">
        <v>17</v>
      </c>
      <c r="E24" s="8" t="s">
        <v>326</v>
      </c>
      <c r="F24" s="8" t="s">
        <v>18</v>
      </c>
      <c r="G24" s="10">
        <f ca="1">IF(Table2[[#This Row],[Sales]]&gt;10,Table2[[#This Row],[Sales]]+5000)</f>
        <v>7500</v>
      </c>
      <c r="H24" s="8"/>
      <c r="M24" s="2" t="s">
        <v>49</v>
      </c>
      <c r="N24" s="2" t="s">
        <v>34</v>
      </c>
      <c r="R24" s="18">
        <v>43234</v>
      </c>
      <c r="S24" s="73">
        <v>153333.33333333299</v>
      </c>
    </row>
    <row r="25" spans="3:19" x14ac:dyDescent="0.3">
      <c r="C25" s="9">
        <v>6</v>
      </c>
      <c r="D25" s="8" t="s">
        <v>19</v>
      </c>
      <c r="E25" s="8" t="s">
        <v>26</v>
      </c>
      <c r="F25" s="8" t="s">
        <v>21</v>
      </c>
      <c r="G25" s="10">
        <f ca="1">IF(Table2[[#This Row],[Sales]]&gt;10,Table2[[#This Row],[Sales]]+5000)</f>
        <v>6800</v>
      </c>
      <c r="H25" s="8"/>
      <c r="M25" s="2" t="s">
        <v>37</v>
      </c>
      <c r="N25" s="2" t="s">
        <v>50</v>
      </c>
      <c r="R25" s="18">
        <v>43241</v>
      </c>
      <c r="S25" s="73">
        <v>158333.33333333299</v>
      </c>
    </row>
    <row r="26" spans="3:19" x14ac:dyDescent="0.3">
      <c r="C26" s="9">
        <v>7</v>
      </c>
      <c r="D26" s="8" t="s">
        <v>22</v>
      </c>
      <c r="E26" s="8" t="s">
        <v>27</v>
      </c>
      <c r="F26" s="8" t="s">
        <v>23</v>
      </c>
      <c r="G26" s="10">
        <f ca="1">IF(Table2[[#This Row],[Sales]]&gt;10,Table2[[#This Row],[Sales]]+5000)</f>
        <v>6000</v>
      </c>
      <c r="H26" s="8"/>
      <c r="K26" s="4" t="s">
        <v>38</v>
      </c>
      <c r="M26" s="2" t="s">
        <v>36</v>
      </c>
      <c r="N26" s="2" t="s">
        <v>31</v>
      </c>
      <c r="R26" s="18">
        <v>43248</v>
      </c>
      <c r="S26" s="73">
        <v>163333.33333333299</v>
      </c>
    </row>
    <row r="27" spans="3:19" x14ac:dyDescent="0.3">
      <c r="C27" s="9">
        <v>8</v>
      </c>
      <c r="D27" s="8" t="s">
        <v>24</v>
      </c>
      <c r="E27" s="8" t="s">
        <v>327</v>
      </c>
      <c r="F27" s="8" t="s">
        <v>25</v>
      </c>
      <c r="G27" s="10">
        <f ca="1">IF(Table2[[#This Row],[Sales]]&gt;10,Table2[[#This Row],[Sales]]+5000)</f>
        <v>7200</v>
      </c>
      <c r="H27" s="8"/>
      <c r="K27" s="8">
        <v>9931022178</v>
      </c>
      <c r="M27" s="2" t="s">
        <v>35</v>
      </c>
      <c r="N27" s="2" t="s">
        <v>51</v>
      </c>
      <c r="R27" s="18">
        <v>43255</v>
      </c>
      <c r="S27" s="73">
        <v>168333.33333333299</v>
      </c>
    </row>
    <row r="28" spans="3:19" x14ac:dyDescent="0.3">
      <c r="C28" s="9">
        <v>9</v>
      </c>
      <c r="D28" s="8" t="s">
        <v>17</v>
      </c>
      <c r="E28" s="8" t="s">
        <v>328</v>
      </c>
      <c r="F28" s="8" t="s">
        <v>18</v>
      </c>
      <c r="G28" s="10">
        <f ca="1">IF(Table2[[#This Row],[Sales]]&gt;10,Table2[[#This Row],[Sales]]+5000)</f>
        <v>7600</v>
      </c>
      <c r="H28" s="8"/>
      <c r="K28" s="8">
        <v>9793026021</v>
      </c>
      <c r="R28" s="18">
        <v>43262</v>
      </c>
      <c r="S28" s="73">
        <v>173333.33333333299</v>
      </c>
    </row>
    <row r="29" spans="3:19" x14ac:dyDescent="0.3">
      <c r="C29" s="11">
        <v>10</v>
      </c>
      <c r="D29" s="12" t="s">
        <v>19</v>
      </c>
      <c r="E29" s="12" t="s">
        <v>20</v>
      </c>
      <c r="F29" s="12" t="s">
        <v>21</v>
      </c>
      <c r="G29" s="12">
        <f ca="1">IF(Table2[[#This Row],[Sales]]&gt;10,Table2[[#This Row],[Sales]]+5000)</f>
        <v>6700</v>
      </c>
      <c r="H29" s="12"/>
      <c r="K29" s="8">
        <v>9637537363</v>
      </c>
      <c r="R29" s="18">
        <v>43269</v>
      </c>
      <c r="S29" s="73">
        <v>178333.33333333299</v>
      </c>
    </row>
    <row r="30" spans="3:19" x14ac:dyDescent="0.3">
      <c r="K30" s="8">
        <v>9264452391</v>
      </c>
      <c r="R30" s="18">
        <v>43276</v>
      </c>
      <c r="S30" s="73">
        <v>183333.33333333299</v>
      </c>
    </row>
    <row r="31" spans="3:19" x14ac:dyDescent="0.3">
      <c r="K31" s="8">
        <v>8108258137</v>
      </c>
      <c r="R31" s="18">
        <v>43283</v>
      </c>
      <c r="S31" s="73">
        <v>188333.33333333299</v>
      </c>
    </row>
    <row r="32" spans="3:19" x14ac:dyDescent="0.3">
      <c r="K32" s="8">
        <v>9543081266</v>
      </c>
      <c r="R32" s="18">
        <v>43290</v>
      </c>
      <c r="S32" s="73">
        <v>193333.33333333299</v>
      </c>
    </row>
    <row r="33" spans="11:19" x14ac:dyDescent="0.3">
      <c r="K33" s="8">
        <v>9982244239</v>
      </c>
      <c r="R33" s="18">
        <v>43297</v>
      </c>
      <c r="S33" s="73">
        <v>198333.33333333299</v>
      </c>
    </row>
    <row r="34" spans="11:19" x14ac:dyDescent="0.3">
      <c r="K34" s="8">
        <v>8435242614</v>
      </c>
      <c r="R34" s="18">
        <v>43304</v>
      </c>
      <c r="S34" s="73">
        <v>203333.33333333299</v>
      </c>
    </row>
    <row r="35" spans="11:19" x14ac:dyDescent="0.3">
      <c r="R35" s="18">
        <v>43311</v>
      </c>
      <c r="S35" s="73">
        <v>208333.33333333299</v>
      </c>
    </row>
    <row r="36" spans="11:19" x14ac:dyDescent="0.3">
      <c r="R36" s="18">
        <v>43318</v>
      </c>
      <c r="S36" s="73">
        <v>213333.33333333299</v>
      </c>
    </row>
    <row r="37" spans="11:19" x14ac:dyDescent="0.3">
      <c r="R37" s="18">
        <v>43325</v>
      </c>
      <c r="S37" s="73">
        <v>218333.33333333299</v>
      </c>
    </row>
    <row r="38" spans="11:19" x14ac:dyDescent="0.3">
      <c r="R38" s="18">
        <v>43332</v>
      </c>
      <c r="S38" s="73">
        <v>223333.33333333299</v>
      </c>
    </row>
    <row r="39" spans="11:19" x14ac:dyDescent="0.3">
      <c r="R39" s="18">
        <v>43339</v>
      </c>
      <c r="S39" s="73">
        <v>228333.33333333299</v>
      </c>
    </row>
    <row r="40" spans="11:19" x14ac:dyDescent="0.3">
      <c r="R40" s="18">
        <v>43346</v>
      </c>
      <c r="S40" s="73">
        <v>233333.33333333299</v>
      </c>
    </row>
    <row r="41" spans="11:19" x14ac:dyDescent="0.3">
      <c r="R41" s="18">
        <v>43353</v>
      </c>
      <c r="S41" s="73">
        <v>238333.33333333299</v>
      </c>
    </row>
    <row r="42" spans="11:19" x14ac:dyDescent="0.3">
      <c r="R42" s="18">
        <v>43360</v>
      </c>
      <c r="S42" s="73">
        <v>243333.33333333299</v>
      </c>
    </row>
    <row r="43" spans="11:19" x14ac:dyDescent="0.3">
      <c r="R43" s="18">
        <v>43367</v>
      </c>
      <c r="S43" s="73">
        <v>248333.33333333299</v>
      </c>
    </row>
    <row r="44" spans="11:19" x14ac:dyDescent="0.3">
      <c r="R44" s="18">
        <v>43374</v>
      </c>
      <c r="S44" s="73">
        <v>253333.33333333299</v>
      </c>
    </row>
    <row r="45" spans="11:19" x14ac:dyDescent="0.3">
      <c r="R45" s="18">
        <v>43381</v>
      </c>
      <c r="S45" s="73">
        <v>258333.33333333299</v>
      </c>
    </row>
    <row r="46" spans="11:19" x14ac:dyDescent="0.3">
      <c r="R46" s="18">
        <v>43388</v>
      </c>
      <c r="S46" s="73">
        <v>263333.33333333302</v>
      </c>
    </row>
    <row r="47" spans="11:19" x14ac:dyDescent="0.3">
      <c r="R47" s="18">
        <v>43395</v>
      </c>
      <c r="S47" s="73">
        <v>268333.33333333302</v>
      </c>
    </row>
    <row r="48" spans="11:19" x14ac:dyDescent="0.3">
      <c r="R48" s="18">
        <v>43402</v>
      </c>
      <c r="S48" s="73">
        <v>273333.33333333302</v>
      </c>
    </row>
    <row r="49" spans="18:19" x14ac:dyDescent="0.3">
      <c r="R49" s="18">
        <v>43409</v>
      </c>
      <c r="S49" s="73">
        <v>278333.33333333302</v>
      </c>
    </row>
    <row r="50" spans="18:19" x14ac:dyDescent="0.3">
      <c r="R50" s="18">
        <v>43416</v>
      </c>
      <c r="S50" s="73">
        <v>283333.33333333302</v>
      </c>
    </row>
    <row r="51" spans="18:19" x14ac:dyDescent="0.3">
      <c r="R51" s="18">
        <v>43423</v>
      </c>
      <c r="S51" s="73">
        <v>288333.33333333302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1"/>
  <sheetViews>
    <sheetView workbookViewId="0">
      <selection activeCell="D21" sqref="D21"/>
    </sheetView>
  </sheetViews>
  <sheetFormatPr defaultRowHeight="14.4" x14ac:dyDescent="0.3"/>
  <cols>
    <col min="1" max="1" width="12.33203125" bestFit="1" customWidth="1"/>
    <col min="2" max="2" width="8.88671875" customWidth="1"/>
    <col min="3" max="3" width="16.109375" bestFit="1" customWidth="1"/>
    <col min="4" max="4" width="18" bestFit="1" customWidth="1"/>
    <col min="5" max="5" width="15.5546875" bestFit="1" customWidth="1"/>
    <col min="6" max="6" width="9.5546875" bestFit="1" customWidth="1"/>
  </cols>
  <sheetData>
    <row r="1" spans="1:5" ht="21" x14ac:dyDescent="0.4">
      <c r="A1" s="75" t="s">
        <v>316</v>
      </c>
      <c r="B1" s="75" t="s">
        <v>319</v>
      </c>
      <c r="C1" s="75" t="s">
        <v>317</v>
      </c>
      <c r="D1" s="75" t="s">
        <v>318</v>
      </c>
      <c r="E1" s="75" t="s">
        <v>320</v>
      </c>
    </row>
    <row r="2" spans="1:5" x14ac:dyDescent="0.3">
      <c r="A2" s="19"/>
      <c r="B2" s="19"/>
      <c r="C2" s="19"/>
      <c r="D2" s="19"/>
      <c r="E2" s="18"/>
    </row>
    <row r="3" spans="1:5" x14ac:dyDescent="0.3">
      <c r="A3" s="19"/>
      <c r="B3" s="19"/>
      <c r="C3" s="19"/>
      <c r="D3" s="19"/>
      <c r="E3" s="18"/>
    </row>
    <row r="4" spans="1:5" x14ac:dyDescent="0.3">
      <c r="A4" s="19"/>
      <c r="B4" s="19"/>
      <c r="C4" s="19"/>
      <c r="D4" s="19"/>
      <c r="E4" s="18"/>
    </row>
    <row r="5" spans="1:5" x14ac:dyDescent="0.3">
      <c r="A5" s="19"/>
      <c r="B5" s="19"/>
      <c r="C5" s="19"/>
      <c r="D5" s="19"/>
      <c r="E5" s="18"/>
    </row>
    <row r="6" spans="1:5" x14ac:dyDescent="0.3">
      <c r="A6" s="19"/>
      <c r="B6" s="19"/>
      <c r="C6" s="19"/>
      <c r="D6" s="19"/>
      <c r="E6" s="18"/>
    </row>
    <row r="7" spans="1:5" x14ac:dyDescent="0.3">
      <c r="A7" s="19"/>
      <c r="B7" s="19"/>
      <c r="C7" s="19"/>
      <c r="D7" s="19"/>
      <c r="E7" s="18"/>
    </row>
    <row r="8" spans="1:5" x14ac:dyDescent="0.3">
      <c r="A8" s="19"/>
      <c r="B8" s="19"/>
      <c r="C8" s="19"/>
      <c r="D8" s="19"/>
      <c r="E8" s="18"/>
    </row>
    <row r="9" spans="1:5" x14ac:dyDescent="0.3">
      <c r="A9" s="19"/>
      <c r="B9" s="19"/>
      <c r="C9" s="19"/>
      <c r="D9" s="19"/>
      <c r="E9" s="18"/>
    </row>
    <row r="10" spans="1:5" x14ac:dyDescent="0.3">
      <c r="A10" s="19"/>
      <c r="B10" s="19"/>
      <c r="C10" s="19"/>
      <c r="D10" s="19"/>
      <c r="E10" s="18"/>
    </row>
    <row r="11" spans="1:5" x14ac:dyDescent="0.3">
      <c r="A11" s="19"/>
      <c r="B11" s="19"/>
      <c r="C11" s="19"/>
      <c r="D11" s="19"/>
      <c r="E11" s="18"/>
    </row>
    <row r="12" spans="1:5" x14ac:dyDescent="0.3">
      <c r="A12" s="19"/>
      <c r="B12" s="19"/>
      <c r="C12" s="19"/>
      <c r="D12" s="19"/>
      <c r="E12" s="18"/>
    </row>
    <row r="13" spans="1:5" x14ac:dyDescent="0.3">
      <c r="A13" s="19"/>
      <c r="B13" s="19"/>
      <c r="C13" s="19"/>
      <c r="D13" s="19"/>
      <c r="E13" s="18"/>
    </row>
    <row r="14" spans="1:5" x14ac:dyDescent="0.3">
      <c r="A14" s="19"/>
      <c r="B14" s="19"/>
      <c r="C14" s="19"/>
      <c r="D14" s="19"/>
      <c r="E14" s="18"/>
    </row>
    <row r="15" spans="1:5" x14ac:dyDescent="0.3">
      <c r="A15" s="19"/>
      <c r="B15" s="19"/>
      <c r="C15" s="19"/>
      <c r="D15" s="19"/>
      <c r="E15" s="18"/>
    </row>
    <row r="16" spans="1:5" x14ac:dyDescent="0.3">
      <c r="A16" s="19"/>
      <c r="B16" s="19"/>
      <c r="C16" s="19"/>
      <c r="D16" s="19"/>
      <c r="E16" s="18"/>
    </row>
    <row r="17" spans="1:5" x14ac:dyDescent="0.3">
      <c r="A17" s="19"/>
      <c r="B17" s="19"/>
      <c r="C17" s="19"/>
      <c r="D17" s="19"/>
      <c r="E17" s="18"/>
    </row>
    <row r="18" spans="1:5" x14ac:dyDescent="0.3">
      <c r="A18" s="19"/>
      <c r="B18" s="19"/>
      <c r="C18" s="19"/>
      <c r="D18" s="19"/>
      <c r="E18" s="18"/>
    </row>
    <row r="19" spans="1:5" x14ac:dyDescent="0.3">
      <c r="A19" s="19"/>
      <c r="B19" s="19"/>
      <c r="C19" s="19"/>
      <c r="D19" s="19"/>
      <c r="E19" s="18"/>
    </row>
    <row r="20" spans="1:5" x14ac:dyDescent="0.3">
      <c r="A20" s="19"/>
      <c r="B20" s="19"/>
      <c r="C20" s="19"/>
      <c r="D20" s="19"/>
      <c r="E20" s="19"/>
    </row>
    <row r="21" spans="1:5" x14ac:dyDescent="0.3">
      <c r="A21" s="19"/>
      <c r="B21" s="19"/>
      <c r="C21" s="19"/>
      <c r="D21" s="19"/>
      <c r="E21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26"/>
  <sheetViews>
    <sheetView topLeftCell="B4" workbookViewId="0">
      <selection activeCell="B27" sqref="B27"/>
    </sheetView>
  </sheetViews>
  <sheetFormatPr defaultRowHeight="14.4" x14ac:dyDescent="0.3"/>
  <cols>
    <col min="1" max="1" width="22.109375" bestFit="1" customWidth="1"/>
    <col min="2" max="2" width="22.109375" customWidth="1"/>
    <col min="3" max="3" width="22.109375" bestFit="1" customWidth="1"/>
    <col min="4" max="4" width="17.77734375" bestFit="1" customWidth="1"/>
    <col min="5" max="5" width="18.109375" bestFit="1" customWidth="1"/>
    <col min="6" max="6" width="12.33203125" customWidth="1"/>
    <col min="7" max="7" width="35.5546875" customWidth="1"/>
  </cols>
  <sheetData>
    <row r="1" spans="1:10" x14ac:dyDescent="0.3">
      <c r="A1" s="22" t="s">
        <v>78</v>
      </c>
      <c r="B1" s="22" t="s">
        <v>103</v>
      </c>
      <c r="C1" s="22" t="s">
        <v>79</v>
      </c>
      <c r="D1" s="22" t="s">
        <v>80</v>
      </c>
      <c r="E1" s="22" t="s">
        <v>81</v>
      </c>
      <c r="F1" s="22" t="s">
        <v>84</v>
      </c>
      <c r="G1" s="22" t="s">
        <v>85</v>
      </c>
      <c r="H1" s="22" t="s">
        <v>83</v>
      </c>
      <c r="I1" s="22" t="s">
        <v>82</v>
      </c>
      <c r="J1" s="56" t="s">
        <v>117</v>
      </c>
    </row>
    <row r="2" spans="1:10" x14ac:dyDescent="0.3">
      <c r="A2" s="19" t="s">
        <v>311</v>
      </c>
      <c r="B2" s="8">
        <v>9931022178</v>
      </c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 t="s">
        <v>86</v>
      </c>
      <c r="B3" s="8">
        <v>9793026021</v>
      </c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 t="s">
        <v>102</v>
      </c>
      <c r="B4" s="8">
        <v>9637537363</v>
      </c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 t="s">
        <v>87</v>
      </c>
      <c r="B5" s="8">
        <v>9264452391</v>
      </c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 t="s">
        <v>86</v>
      </c>
      <c r="B6" s="8">
        <v>8108258137</v>
      </c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9" t="s">
        <v>88</v>
      </c>
      <c r="B7" s="8">
        <v>9543081266</v>
      </c>
      <c r="C7" s="19"/>
      <c r="D7" s="19"/>
      <c r="E7" s="19"/>
      <c r="F7" s="19"/>
      <c r="G7" s="19"/>
      <c r="H7" s="19"/>
      <c r="I7" s="19"/>
      <c r="J7" s="19"/>
    </row>
    <row r="8" spans="1:10" x14ac:dyDescent="0.3">
      <c r="A8" s="19" t="s">
        <v>89</v>
      </c>
      <c r="B8" s="8">
        <v>998224423</v>
      </c>
      <c r="C8" s="19"/>
      <c r="D8" s="19"/>
      <c r="E8" s="19"/>
      <c r="F8" s="19"/>
      <c r="G8" s="19"/>
      <c r="H8" s="19"/>
      <c r="I8" s="19"/>
      <c r="J8" s="19"/>
    </row>
    <row r="9" spans="1:10" x14ac:dyDescent="0.3">
      <c r="A9" s="19" t="s">
        <v>86</v>
      </c>
      <c r="B9" s="8">
        <v>8435242614</v>
      </c>
      <c r="C9" s="19"/>
      <c r="D9" s="19"/>
      <c r="E9" s="19"/>
      <c r="F9" s="19"/>
      <c r="G9" s="19"/>
      <c r="H9" s="19"/>
      <c r="I9" s="19"/>
      <c r="J9" s="19"/>
    </row>
    <row r="10" spans="1:10" x14ac:dyDescent="0.3">
      <c r="A10" s="19" t="s">
        <v>90</v>
      </c>
      <c r="B10" s="8">
        <v>9931022178</v>
      </c>
      <c r="C10" s="19"/>
      <c r="D10" s="19"/>
      <c r="E10" s="19"/>
      <c r="F10" s="19"/>
      <c r="G10" s="19"/>
      <c r="H10" s="19"/>
      <c r="I10" s="19"/>
      <c r="J10" s="19"/>
    </row>
    <row r="11" spans="1:10" x14ac:dyDescent="0.3">
      <c r="A11" s="19" t="s">
        <v>91</v>
      </c>
      <c r="B11" s="8">
        <v>9793026021</v>
      </c>
      <c r="C11" s="19"/>
      <c r="D11" s="19"/>
      <c r="E11" s="19"/>
      <c r="F11" s="19"/>
      <c r="G11" s="19"/>
      <c r="H11" s="19"/>
      <c r="I11" s="19"/>
      <c r="J11" s="19"/>
    </row>
    <row r="12" spans="1:10" x14ac:dyDescent="0.3">
      <c r="A12" s="19" t="s">
        <v>92</v>
      </c>
      <c r="B12" s="8">
        <v>9637537363</v>
      </c>
      <c r="C12" s="19"/>
      <c r="D12" s="19"/>
      <c r="E12" s="19"/>
      <c r="F12" s="19"/>
      <c r="G12" s="19"/>
      <c r="H12" s="19"/>
      <c r="I12" s="19"/>
      <c r="J12" s="19"/>
    </row>
    <row r="13" spans="1:10" x14ac:dyDescent="0.3">
      <c r="A13" s="19" t="s">
        <v>93</v>
      </c>
      <c r="B13" s="8">
        <v>9264452391</v>
      </c>
      <c r="C13" s="19"/>
      <c r="D13" s="19"/>
      <c r="E13" s="19"/>
      <c r="F13" s="19"/>
      <c r="G13" s="19"/>
      <c r="H13" s="19"/>
      <c r="I13" s="19"/>
      <c r="J13" s="19"/>
    </row>
    <row r="14" spans="1:10" x14ac:dyDescent="0.3">
      <c r="A14" s="19" t="s">
        <v>89</v>
      </c>
      <c r="B14" s="8">
        <v>8108258137</v>
      </c>
      <c r="C14" s="19"/>
      <c r="D14" s="19"/>
      <c r="E14" s="19"/>
      <c r="F14" s="19"/>
      <c r="G14" s="19"/>
      <c r="H14" s="19"/>
      <c r="I14" s="19"/>
      <c r="J14" s="19"/>
    </row>
    <row r="15" spans="1:10" x14ac:dyDescent="0.3">
      <c r="A15" s="19" t="s">
        <v>94</v>
      </c>
      <c r="B15" s="8">
        <v>9543081266</v>
      </c>
      <c r="C15" s="19"/>
      <c r="D15" s="19"/>
      <c r="E15" s="19"/>
      <c r="F15" s="19"/>
      <c r="G15" s="19"/>
      <c r="H15" s="19"/>
      <c r="I15" s="19"/>
      <c r="J15" s="19"/>
    </row>
    <row r="16" spans="1:10" x14ac:dyDescent="0.3">
      <c r="A16" s="19" t="s">
        <v>95</v>
      </c>
      <c r="B16" s="8">
        <v>9982244239</v>
      </c>
      <c r="C16" s="19"/>
      <c r="D16" s="19"/>
      <c r="E16" s="19"/>
      <c r="F16" s="19"/>
      <c r="G16" s="19"/>
      <c r="H16" s="19"/>
      <c r="I16" s="19"/>
      <c r="J16" s="19"/>
    </row>
    <row r="17" spans="1:10" x14ac:dyDescent="0.3">
      <c r="A17" s="19" t="s">
        <v>96</v>
      </c>
      <c r="B17" s="8">
        <v>8435242614</v>
      </c>
      <c r="C17" s="19"/>
      <c r="D17" s="19"/>
      <c r="E17" s="19"/>
      <c r="F17" s="19"/>
      <c r="G17" s="19"/>
      <c r="H17" s="19"/>
      <c r="I17" s="19"/>
      <c r="J17" s="19"/>
    </row>
    <row r="18" spans="1:10" x14ac:dyDescent="0.3">
      <c r="A18" s="19" t="s">
        <v>97</v>
      </c>
      <c r="B18" s="8">
        <v>9931022178</v>
      </c>
      <c r="C18" s="19"/>
      <c r="D18" s="19"/>
      <c r="E18" s="19"/>
      <c r="F18" s="19"/>
      <c r="G18" s="19"/>
      <c r="H18" s="19"/>
      <c r="I18" s="19"/>
      <c r="J18" s="19"/>
    </row>
    <row r="19" spans="1:10" x14ac:dyDescent="0.3">
      <c r="A19" s="19" t="s">
        <v>98</v>
      </c>
      <c r="B19" s="8">
        <v>9793026021</v>
      </c>
      <c r="C19" s="19"/>
      <c r="D19" s="19"/>
      <c r="E19" s="19"/>
      <c r="F19" s="19"/>
      <c r="G19" s="19"/>
      <c r="H19" s="19"/>
      <c r="I19" s="19"/>
      <c r="J19" s="19"/>
    </row>
    <row r="20" spans="1:10" x14ac:dyDescent="0.3">
      <c r="A20" s="19" t="s">
        <v>99</v>
      </c>
      <c r="B20" s="8">
        <v>9637537363</v>
      </c>
      <c r="C20" s="19"/>
      <c r="D20" s="19"/>
      <c r="E20" s="19"/>
      <c r="F20" s="19"/>
      <c r="G20" s="19"/>
      <c r="H20" s="19"/>
      <c r="I20" s="19"/>
      <c r="J20" s="19"/>
    </row>
    <row r="21" spans="1:10" x14ac:dyDescent="0.3">
      <c r="A21" s="19" t="s">
        <v>100</v>
      </c>
      <c r="B21" s="8">
        <v>9264452391</v>
      </c>
      <c r="C21" s="19"/>
      <c r="D21" s="19"/>
      <c r="E21" s="19"/>
      <c r="F21" s="19"/>
      <c r="G21" s="19"/>
      <c r="H21" s="19"/>
      <c r="I21" s="19"/>
      <c r="J21" s="19"/>
    </row>
    <row r="22" spans="1:10" x14ac:dyDescent="0.3">
      <c r="A22" s="19" t="s">
        <v>95</v>
      </c>
      <c r="B22" s="8">
        <v>8108258137</v>
      </c>
      <c r="C22" s="19"/>
      <c r="D22" s="19"/>
      <c r="E22" s="19"/>
      <c r="F22" s="19"/>
      <c r="G22" s="19"/>
      <c r="H22" s="19"/>
      <c r="I22" s="19"/>
      <c r="J22" s="19"/>
    </row>
    <row r="23" spans="1:10" x14ac:dyDescent="0.3">
      <c r="A23" s="19" t="s">
        <v>101</v>
      </c>
      <c r="B23" s="8">
        <v>9543081266</v>
      </c>
      <c r="C23" s="19"/>
      <c r="D23" s="19"/>
      <c r="E23" s="19"/>
      <c r="F23" s="19"/>
      <c r="G23" s="19"/>
      <c r="H23" s="19"/>
      <c r="I23" s="19"/>
      <c r="J23" s="19"/>
    </row>
    <row r="25" spans="1:10" x14ac:dyDescent="0.3">
      <c r="C25" s="1"/>
    </row>
    <row r="26" spans="1:10" x14ac:dyDescent="0.3">
      <c r="A2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N28"/>
  <sheetViews>
    <sheetView workbookViewId="0">
      <selection activeCell="F5" sqref="F5"/>
    </sheetView>
  </sheetViews>
  <sheetFormatPr defaultRowHeight="14.4" x14ac:dyDescent="0.3"/>
  <cols>
    <col min="2" max="2" width="13.33203125" customWidth="1"/>
    <col min="3" max="3" width="10.88671875" customWidth="1"/>
    <col min="4" max="4" width="9.88671875" customWidth="1"/>
    <col min="6" max="6" width="11.33203125" customWidth="1"/>
    <col min="8" max="8" width="10.33203125" customWidth="1"/>
    <col min="9" max="9" width="10.6640625" customWidth="1"/>
    <col min="12" max="12" width="11.44140625" customWidth="1"/>
    <col min="13" max="13" width="10.88671875" customWidth="1"/>
    <col min="14" max="14" width="10.21875" customWidth="1"/>
    <col min="18" max="18" width="9.5546875" bestFit="1" customWidth="1"/>
    <col min="19" max="19" width="22.44140625" bestFit="1" customWidth="1"/>
  </cols>
  <sheetData>
    <row r="3" spans="2:14" x14ac:dyDescent="0.3">
      <c r="B3" s="22" t="s">
        <v>62</v>
      </c>
      <c r="C3" s="22" t="s">
        <v>115</v>
      </c>
      <c r="D3" s="22" t="s">
        <v>69</v>
      </c>
    </row>
    <row r="4" spans="2:14" x14ac:dyDescent="0.3">
      <c r="B4" s="17" t="s">
        <v>54</v>
      </c>
      <c r="C4" s="17" t="s">
        <v>60</v>
      </c>
      <c r="D4" s="17">
        <v>100</v>
      </c>
      <c r="F4" s="22" t="s">
        <v>110</v>
      </c>
      <c r="G4" s="25"/>
      <c r="H4" s="99" t="s">
        <v>68</v>
      </c>
      <c r="I4" s="99"/>
      <c r="L4" s="99" t="s">
        <v>67</v>
      </c>
      <c r="M4" s="99"/>
      <c r="N4" s="99"/>
    </row>
    <row r="5" spans="2:14" x14ac:dyDescent="0.3">
      <c r="B5" s="17" t="s">
        <v>56</v>
      </c>
      <c r="C5" s="17" t="s">
        <v>55</v>
      </c>
      <c r="D5" s="17">
        <v>245</v>
      </c>
      <c r="F5" s="19"/>
      <c r="H5" s="22" t="s">
        <v>62</v>
      </c>
      <c r="I5" s="22" t="s">
        <v>61</v>
      </c>
      <c r="L5" s="22" t="s">
        <v>62</v>
      </c>
      <c r="M5" s="22" t="s">
        <v>115</v>
      </c>
      <c r="N5" s="22" t="s">
        <v>61</v>
      </c>
    </row>
    <row r="6" spans="2:14" x14ac:dyDescent="0.3">
      <c r="B6" s="17" t="s">
        <v>58</v>
      </c>
      <c r="C6" s="17" t="s">
        <v>57</v>
      </c>
      <c r="D6" s="17">
        <v>152</v>
      </c>
      <c r="H6" s="19"/>
      <c r="I6" s="19"/>
      <c r="L6" s="19" t="s">
        <v>116</v>
      </c>
      <c r="M6" s="19" t="s">
        <v>55</v>
      </c>
      <c r="N6" s="19"/>
    </row>
    <row r="7" spans="2:14" ht="14.4" customHeight="1" x14ac:dyDescent="0.3">
      <c r="B7" s="17" t="s">
        <v>58</v>
      </c>
      <c r="C7" s="17" t="s">
        <v>53</v>
      </c>
      <c r="D7" s="17">
        <v>230</v>
      </c>
      <c r="F7" s="22" t="s">
        <v>111</v>
      </c>
    </row>
    <row r="8" spans="2:14" x14ac:dyDescent="0.3">
      <c r="B8" s="17" t="s">
        <v>56</v>
      </c>
      <c r="C8" s="17" t="s">
        <v>59</v>
      </c>
      <c r="D8" s="17">
        <v>158</v>
      </c>
      <c r="F8" s="19"/>
    </row>
    <row r="9" spans="2:14" x14ac:dyDescent="0.3">
      <c r="B9" s="17" t="s">
        <v>56</v>
      </c>
      <c r="C9" s="17" t="s">
        <v>53</v>
      </c>
      <c r="D9" s="17">
        <v>178</v>
      </c>
      <c r="H9" s="97" t="s">
        <v>66</v>
      </c>
      <c r="I9" s="98"/>
      <c r="L9" s="99" t="s">
        <v>65</v>
      </c>
      <c r="M9" s="99"/>
      <c r="N9" s="99"/>
    </row>
    <row r="10" spans="2:14" x14ac:dyDescent="0.3">
      <c r="B10" s="17" t="s">
        <v>58</v>
      </c>
      <c r="C10" s="17" t="s">
        <v>59</v>
      </c>
      <c r="D10" s="17">
        <v>145</v>
      </c>
      <c r="F10" s="24" t="s">
        <v>113</v>
      </c>
      <c r="H10" s="22" t="s">
        <v>62</v>
      </c>
      <c r="I10" s="22" t="s">
        <v>61</v>
      </c>
      <c r="L10" s="22" t="s">
        <v>62</v>
      </c>
      <c r="M10" s="24" t="s">
        <v>115</v>
      </c>
      <c r="N10" s="22" t="s">
        <v>61</v>
      </c>
    </row>
    <row r="11" spans="2:14" x14ac:dyDescent="0.3">
      <c r="B11" s="17" t="s">
        <v>54</v>
      </c>
      <c r="C11" s="17" t="s">
        <v>60</v>
      </c>
      <c r="D11" s="17">
        <v>120</v>
      </c>
      <c r="F11" s="19"/>
      <c r="H11" s="19"/>
      <c r="I11" s="19"/>
      <c r="L11" s="19" t="s">
        <v>56</v>
      </c>
      <c r="M11" s="19" t="s">
        <v>57</v>
      </c>
      <c r="N11" s="19"/>
    </row>
    <row r="12" spans="2:14" x14ac:dyDescent="0.3">
      <c r="B12" s="17" t="s">
        <v>54</v>
      </c>
      <c r="C12" s="17" t="s">
        <v>55</v>
      </c>
      <c r="D12" s="17">
        <v>332</v>
      </c>
    </row>
    <row r="13" spans="2:14" x14ac:dyDescent="0.3">
      <c r="B13" s="17" t="s">
        <v>58</v>
      </c>
      <c r="C13" s="17" t="s">
        <v>59</v>
      </c>
      <c r="D13" s="17">
        <v>114</v>
      </c>
    </row>
    <row r="14" spans="2:14" x14ac:dyDescent="0.3">
      <c r="B14" s="17" t="s">
        <v>54</v>
      </c>
      <c r="C14" s="17" t="s">
        <v>57</v>
      </c>
      <c r="D14" s="17">
        <v>452</v>
      </c>
    </row>
    <row r="15" spans="2:14" ht="14.4" customHeight="1" x14ac:dyDescent="0.3">
      <c r="B15" s="17" t="s">
        <v>56</v>
      </c>
      <c r="C15" s="17" t="s">
        <v>55</v>
      </c>
      <c r="D15" s="17">
        <v>132</v>
      </c>
      <c r="F15" s="24" t="s">
        <v>114</v>
      </c>
      <c r="H15" s="97" t="s">
        <v>64</v>
      </c>
      <c r="I15" s="98"/>
      <c r="L15" s="99" t="s">
        <v>63</v>
      </c>
      <c r="M15" s="99"/>
      <c r="N15" s="99"/>
    </row>
    <row r="16" spans="2:14" x14ac:dyDescent="0.3">
      <c r="B16" s="17" t="s">
        <v>56</v>
      </c>
      <c r="C16" s="17" t="s">
        <v>57</v>
      </c>
      <c r="D16" s="17">
        <v>156</v>
      </c>
      <c r="F16" s="61"/>
      <c r="H16" s="22" t="s">
        <v>62</v>
      </c>
      <c r="I16" s="22" t="s">
        <v>61</v>
      </c>
      <c r="L16" s="22" t="s">
        <v>62</v>
      </c>
      <c r="M16" s="24" t="s">
        <v>115</v>
      </c>
      <c r="N16" s="22" t="s">
        <v>61</v>
      </c>
    </row>
    <row r="17" spans="2:14" x14ac:dyDescent="0.3">
      <c r="B17" s="17" t="s">
        <v>54</v>
      </c>
      <c r="C17" s="17" t="s">
        <v>53</v>
      </c>
      <c r="D17" s="17">
        <v>287</v>
      </c>
      <c r="H17" s="19"/>
      <c r="I17" s="19"/>
      <c r="L17" s="19"/>
      <c r="M17" s="19"/>
      <c r="N17" s="19"/>
    </row>
    <row r="18" spans="2:14" x14ac:dyDescent="0.3">
      <c r="B18" s="17" t="s">
        <v>58</v>
      </c>
      <c r="C18" s="17" t="s">
        <v>59</v>
      </c>
      <c r="D18" s="17">
        <v>245</v>
      </c>
    </row>
    <row r="19" spans="2:14" x14ac:dyDescent="0.3">
      <c r="B19" s="17" t="s">
        <v>54</v>
      </c>
      <c r="C19" s="17" t="s">
        <v>57</v>
      </c>
      <c r="D19" s="17">
        <v>221</v>
      </c>
      <c r="F19" s="58" t="s">
        <v>304</v>
      </c>
    </row>
    <row r="20" spans="2:14" x14ac:dyDescent="0.3">
      <c r="B20" s="17" t="s">
        <v>58</v>
      </c>
      <c r="C20" s="17" t="s">
        <v>60</v>
      </c>
      <c r="D20" s="17">
        <v>130</v>
      </c>
      <c r="F20" s="19"/>
    </row>
    <row r="21" spans="2:14" x14ac:dyDescent="0.3">
      <c r="B21" s="17" t="s">
        <v>56</v>
      </c>
      <c r="C21" s="17" t="s">
        <v>53</v>
      </c>
      <c r="D21" s="17">
        <v>158</v>
      </c>
    </row>
    <row r="22" spans="2:14" x14ac:dyDescent="0.3">
      <c r="B22" s="17" t="s">
        <v>54</v>
      </c>
      <c r="C22" s="17" t="s">
        <v>59</v>
      </c>
      <c r="D22" s="17">
        <v>174</v>
      </c>
    </row>
    <row r="23" spans="2:14" x14ac:dyDescent="0.3">
      <c r="B23" s="17" t="s">
        <v>58</v>
      </c>
      <c r="C23" s="17" t="s">
        <v>57</v>
      </c>
      <c r="D23" s="17">
        <v>256</v>
      </c>
    </row>
    <row r="24" spans="2:14" x14ac:dyDescent="0.3">
      <c r="B24" s="17" t="s">
        <v>56</v>
      </c>
      <c r="C24" s="17" t="s">
        <v>55</v>
      </c>
      <c r="D24" s="17">
        <v>253</v>
      </c>
      <c r="I24" s="1"/>
    </row>
    <row r="25" spans="2:14" x14ac:dyDescent="0.3">
      <c r="B25" s="17" t="s">
        <v>54</v>
      </c>
      <c r="C25" s="17" t="s">
        <v>53</v>
      </c>
      <c r="D25" s="17">
        <v>142</v>
      </c>
    </row>
    <row r="26" spans="2:14" x14ac:dyDescent="0.3">
      <c r="B26" s="17" t="s">
        <v>116</v>
      </c>
      <c r="C26" s="17" t="s">
        <v>55</v>
      </c>
      <c r="D26" s="17">
        <v>500</v>
      </c>
    </row>
    <row r="27" spans="2:14" x14ac:dyDescent="0.3">
      <c r="B27" s="17" t="s">
        <v>116</v>
      </c>
      <c r="C27" s="17" t="s">
        <v>55</v>
      </c>
      <c r="D27" s="17">
        <v>500</v>
      </c>
    </row>
    <row r="28" spans="2:14" x14ac:dyDescent="0.3">
      <c r="B28" s="17" t="s">
        <v>116</v>
      </c>
      <c r="C28" s="17" t="s">
        <v>55</v>
      </c>
      <c r="D28" s="17">
        <v>500</v>
      </c>
    </row>
  </sheetData>
  <mergeCells count="6">
    <mergeCell ref="H9:I9"/>
    <mergeCell ref="L9:N9"/>
    <mergeCell ref="H15:I15"/>
    <mergeCell ref="L15:N15"/>
    <mergeCell ref="H4:I4"/>
    <mergeCell ref="L4:N4"/>
  </mergeCells>
  <dataValidations count="2">
    <dataValidation type="list" allowBlank="1" showInputMessage="1" showErrorMessage="1" sqref="L11">
      <formula1>#REF!</formula1>
    </dataValidation>
    <dataValidation type="list" allowBlank="1" showInputMessage="1" showErrorMessage="1" sqref="M11">
      <formula1>#REF!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W60"/>
  <sheetViews>
    <sheetView topLeftCell="C1" workbookViewId="0">
      <selection activeCell="E2" sqref="E2"/>
    </sheetView>
  </sheetViews>
  <sheetFormatPr defaultRowHeight="14.4" x14ac:dyDescent="0.3"/>
  <cols>
    <col min="1" max="1" width="10.5546875" bestFit="1" customWidth="1"/>
    <col min="9" max="9" width="11.6640625" customWidth="1"/>
    <col min="11" max="11" width="11.88671875" customWidth="1"/>
    <col min="12" max="12" width="10.88671875" customWidth="1"/>
    <col min="13" max="13" width="12.33203125" customWidth="1"/>
    <col min="14" max="14" width="11.44140625" customWidth="1"/>
    <col min="15" max="15" width="9" customWidth="1"/>
    <col min="17" max="17" width="9.88671875" customWidth="1"/>
  </cols>
  <sheetData>
    <row r="1" spans="1:18" ht="28.8" x14ac:dyDescent="0.3">
      <c r="A1" s="22" t="s">
        <v>70</v>
      </c>
      <c r="B1" s="22" t="s">
        <v>71</v>
      </c>
      <c r="C1" s="22" t="s">
        <v>72</v>
      </c>
      <c r="D1" s="22" t="s">
        <v>73</v>
      </c>
      <c r="I1" s="22" t="s">
        <v>104</v>
      </c>
      <c r="J1" s="22" t="s">
        <v>106</v>
      </c>
      <c r="K1" s="22" t="s">
        <v>107</v>
      </c>
      <c r="L1" s="22" t="s">
        <v>108</v>
      </c>
      <c r="M1" s="22" t="s">
        <v>109</v>
      </c>
      <c r="N1" s="22" t="s">
        <v>105</v>
      </c>
      <c r="O1" s="23" t="s">
        <v>74</v>
      </c>
      <c r="P1" s="23" t="s">
        <v>75</v>
      </c>
      <c r="Q1" s="23" t="s">
        <v>76</v>
      </c>
      <c r="R1" s="23" t="s">
        <v>77</v>
      </c>
    </row>
    <row r="2" spans="1:18" x14ac:dyDescent="0.3">
      <c r="A2" s="18">
        <v>43101</v>
      </c>
      <c r="B2" s="2">
        <v>5</v>
      </c>
      <c r="C2" s="2">
        <v>5</v>
      </c>
      <c r="D2" s="2">
        <v>28</v>
      </c>
      <c r="I2" s="21">
        <v>1</v>
      </c>
      <c r="J2" s="21">
        <v>55</v>
      </c>
      <c r="K2" s="21">
        <v>55</v>
      </c>
      <c r="L2" s="21">
        <v>55</v>
      </c>
      <c r="M2" s="21">
        <v>55</v>
      </c>
      <c r="N2" s="21"/>
      <c r="O2" s="8"/>
      <c r="P2" s="8"/>
      <c r="Q2" s="8"/>
      <c r="R2" s="19"/>
    </row>
    <row r="3" spans="1:18" x14ac:dyDescent="0.3">
      <c r="A3" s="18">
        <v>43108</v>
      </c>
      <c r="B3" s="2">
        <v>7</v>
      </c>
      <c r="C3" s="2">
        <v>4</v>
      </c>
      <c r="D3" s="2">
        <v>35</v>
      </c>
      <c r="I3" s="21">
        <v>2</v>
      </c>
      <c r="J3" s="21">
        <v>57</v>
      </c>
      <c r="K3" s="21">
        <v>54</v>
      </c>
      <c r="L3" s="21">
        <v>56</v>
      </c>
      <c r="M3" s="21">
        <v>54</v>
      </c>
      <c r="N3" s="21"/>
      <c r="O3" s="8"/>
      <c r="P3" s="8"/>
      <c r="Q3" s="8"/>
      <c r="R3" s="19"/>
    </row>
    <row r="4" spans="1:18" x14ac:dyDescent="0.3">
      <c r="A4" s="18">
        <v>43115</v>
      </c>
      <c r="B4" s="2">
        <v>9</v>
      </c>
      <c r="C4" s="2">
        <v>9</v>
      </c>
      <c r="D4" s="2">
        <v>78</v>
      </c>
      <c r="I4" s="21">
        <v>3</v>
      </c>
      <c r="J4" s="21">
        <v>58</v>
      </c>
      <c r="K4" s="21">
        <v>60</v>
      </c>
      <c r="L4" s="21">
        <v>56</v>
      </c>
      <c r="M4" s="21">
        <v>55</v>
      </c>
      <c r="N4" s="21"/>
      <c r="O4" s="8"/>
      <c r="P4" s="8"/>
      <c r="Q4" s="8"/>
      <c r="R4" s="19"/>
    </row>
    <row r="5" spans="1:18" x14ac:dyDescent="0.3">
      <c r="A5" s="18">
        <v>43122</v>
      </c>
      <c r="B5" s="2">
        <v>11</v>
      </c>
      <c r="C5" s="2">
        <v>6</v>
      </c>
      <c r="D5" s="2">
        <v>53</v>
      </c>
      <c r="I5" s="21">
        <v>4</v>
      </c>
      <c r="J5" s="21">
        <v>59</v>
      </c>
      <c r="K5" s="21">
        <v>57</v>
      </c>
      <c r="L5" s="21">
        <v>52</v>
      </c>
      <c r="M5" s="21">
        <v>56</v>
      </c>
      <c r="N5" s="21"/>
      <c r="O5" s="8"/>
      <c r="P5" s="8"/>
      <c r="Q5" s="8"/>
      <c r="R5" s="19"/>
    </row>
    <row r="6" spans="1:18" x14ac:dyDescent="0.3">
      <c r="A6" s="18">
        <v>43129</v>
      </c>
      <c r="B6" s="2">
        <v>13</v>
      </c>
      <c r="C6" s="2">
        <v>5</v>
      </c>
      <c r="D6" s="2">
        <v>60</v>
      </c>
      <c r="I6" s="21">
        <v>5</v>
      </c>
      <c r="J6" s="21">
        <v>60</v>
      </c>
      <c r="K6" s="21">
        <v>55</v>
      </c>
      <c r="L6" s="21">
        <v>52</v>
      </c>
      <c r="M6" s="21">
        <v>59</v>
      </c>
      <c r="N6" s="21"/>
      <c r="O6" s="8"/>
      <c r="P6" s="8"/>
      <c r="Q6" s="8"/>
      <c r="R6" s="19"/>
    </row>
    <row r="7" spans="1:18" x14ac:dyDescent="0.3">
      <c r="A7" s="18">
        <v>43136</v>
      </c>
      <c r="B7" s="2">
        <v>15</v>
      </c>
      <c r="C7" s="2">
        <v>5</v>
      </c>
      <c r="D7" s="2">
        <v>68</v>
      </c>
      <c r="I7" s="21">
        <v>6</v>
      </c>
      <c r="J7" s="21">
        <v>61</v>
      </c>
      <c r="K7" s="21">
        <v>56</v>
      </c>
      <c r="L7" s="21">
        <v>57</v>
      </c>
      <c r="M7" s="21">
        <v>60</v>
      </c>
      <c r="N7" s="21"/>
      <c r="O7" s="8"/>
      <c r="P7" s="8"/>
      <c r="Q7" s="8"/>
      <c r="R7" s="19"/>
    </row>
    <row r="8" spans="1:18" x14ac:dyDescent="0.3">
      <c r="A8" s="18">
        <v>43143</v>
      </c>
      <c r="B8" s="2">
        <v>17</v>
      </c>
      <c r="C8" s="2">
        <v>5</v>
      </c>
      <c r="D8" s="2">
        <v>58</v>
      </c>
      <c r="I8" s="21">
        <v>7</v>
      </c>
      <c r="J8" s="21">
        <v>62</v>
      </c>
      <c r="K8" s="21">
        <v>58</v>
      </c>
      <c r="L8" s="21">
        <v>50</v>
      </c>
      <c r="M8" s="21">
        <v>52</v>
      </c>
      <c r="N8" s="21"/>
      <c r="O8" s="8"/>
      <c r="P8" s="8"/>
      <c r="Q8" s="8"/>
      <c r="R8" s="19"/>
    </row>
    <row r="9" spans="1:18" x14ac:dyDescent="0.3">
      <c r="A9" s="18">
        <v>43150</v>
      </c>
      <c r="B9" s="2">
        <v>19</v>
      </c>
      <c r="C9" s="2">
        <v>9</v>
      </c>
      <c r="D9" s="2">
        <v>148</v>
      </c>
      <c r="I9" s="21">
        <v>8</v>
      </c>
      <c r="J9" s="21">
        <v>63</v>
      </c>
      <c r="K9" s="21">
        <v>59</v>
      </c>
      <c r="L9" s="21">
        <v>52</v>
      </c>
      <c r="M9" s="21">
        <v>55</v>
      </c>
      <c r="N9" s="21"/>
      <c r="O9" s="8"/>
      <c r="P9" s="8"/>
      <c r="Q9" s="8"/>
      <c r="R9" s="19"/>
    </row>
    <row r="10" spans="1:18" x14ac:dyDescent="0.3">
      <c r="A10" s="18">
        <v>43157</v>
      </c>
      <c r="B10" s="2">
        <v>21</v>
      </c>
      <c r="C10" s="2">
        <v>5</v>
      </c>
      <c r="D10" s="2">
        <v>92</v>
      </c>
      <c r="I10" s="21">
        <v>9</v>
      </c>
      <c r="J10" s="21">
        <v>65</v>
      </c>
      <c r="K10" s="21">
        <v>58</v>
      </c>
      <c r="L10" s="21">
        <v>60</v>
      </c>
      <c r="M10" s="21">
        <v>55</v>
      </c>
      <c r="N10" s="21"/>
      <c r="O10" s="8"/>
      <c r="P10" s="8"/>
      <c r="Q10" s="8"/>
      <c r="R10" s="19"/>
    </row>
    <row r="11" spans="1:18" x14ac:dyDescent="0.3">
      <c r="A11" s="18">
        <v>43164</v>
      </c>
      <c r="B11" s="2">
        <v>23</v>
      </c>
      <c r="C11" s="2">
        <v>4</v>
      </c>
      <c r="D11" s="2">
        <v>99</v>
      </c>
      <c r="I11" s="21">
        <v>10</v>
      </c>
      <c r="J11" s="21">
        <v>66</v>
      </c>
      <c r="K11" s="21">
        <v>59</v>
      </c>
      <c r="L11" s="21">
        <v>55</v>
      </c>
      <c r="M11" s="21">
        <v>58</v>
      </c>
      <c r="N11" s="21"/>
      <c r="O11" s="8"/>
      <c r="P11" s="8"/>
      <c r="Q11" s="8"/>
      <c r="R11" s="19"/>
    </row>
    <row r="12" spans="1:18" x14ac:dyDescent="0.3">
      <c r="A12" s="18">
        <v>43171</v>
      </c>
      <c r="B12" s="2">
        <v>25</v>
      </c>
      <c r="C12" s="2">
        <v>7</v>
      </c>
      <c r="D12" s="2">
        <v>136</v>
      </c>
      <c r="I12" s="21">
        <v>11</v>
      </c>
      <c r="J12" s="21">
        <v>67</v>
      </c>
      <c r="K12" s="21">
        <v>56</v>
      </c>
      <c r="L12" s="21">
        <v>54</v>
      </c>
      <c r="M12" s="21">
        <v>59</v>
      </c>
      <c r="N12" s="21"/>
      <c r="O12" s="8"/>
      <c r="P12" s="8"/>
      <c r="Q12" s="8"/>
      <c r="R12" s="19"/>
    </row>
    <row r="13" spans="1:18" x14ac:dyDescent="0.3">
      <c r="A13" s="18">
        <v>43178</v>
      </c>
      <c r="B13" s="2">
        <v>27</v>
      </c>
      <c r="C13" s="2">
        <v>4</v>
      </c>
      <c r="D13" s="2">
        <v>115</v>
      </c>
      <c r="I13" s="21">
        <v>12</v>
      </c>
      <c r="J13" s="21">
        <v>68</v>
      </c>
      <c r="K13" s="21">
        <v>60</v>
      </c>
      <c r="L13" s="21">
        <v>59</v>
      </c>
      <c r="M13" s="21">
        <v>55</v>
      </c>
      <c r="N13" s="21"/>
      <c r="O13" s="8"/>
      <c r="P13" s="8"/>
      <c r="Q13" s="8"/>
      <c r="R13" s="19"/>
    </row>
    <row r="14" spans="1:18" x14ac:dyDescent="0.3">
      <c r="A14" s="18">
        <v>43185</v>
      </c>
      <c r="B14" s="2">
        <v>29</v>
      </c>
      <c r="C14" s="2">
        <v>7</v>
      </c>
      <c r="D14" s="2">
        <v>216</v>
      </c>
      <c r="I14" s="21">
        <v>13</v>
      </c>
      <c r="J14" s="21">
        <v>69</v>
      </c>
      <c r="K14" s="21">
        <v>62</v>
      </c>
      <c r="L14" s="21">
        <v>56</v>
      </c>
      <c r="M14" s="21">
        <v>60</v>
      </c>
      <c r="N14" s="21"/>
      <c r="O14" s="8"/>
      <c r="P14" s="8"/>
      <c r="Q14" s="8"/>
      <c r="R14" s="19"/>
    </row>
    <row r="15" spans="1:18" x14ac:dyDescent="0.3">
      <c r="A15" s="18">
        <v>43192</v>
      </c>
      <c r="B15" s="2">
        <v>31</v>
      </c>
      <c r="C15" s="2">
        <v>9</v>
      </c>
      <c r="D15" s="2">
        <v>232</v>
      </c>
      <c r="I15" s="21">
        <v>14</v>
      </c>
      <c r="J15" s="21">
        <v>70</v>
      </c>
      <c r="K15" s="21">
        <v>63</v>
      </c>
      <c r="L15" s="21">
        <v>59</v>
      </c>
      <c r="M15" s="21">
        <v>64</v>
      </c>
      <c r="N15" s="21"/>
      <c r="O15" s="8"/>
      <c r="P15" s="8"/>
      <c r="Q15" s="8"/>
      <c r="R15" s="19"/>
    </row>
    <row r="16" spans="1:18" x14ac:dyDescent="0.3">
      <c r="A16" s="18">
        <v>43199</v>
      </c>
      <c r="B16" s="2">
        <v>33</v>
      </c>
      <c r="C16" s="2">
        <v>5</v>
      </c>
      <c r="D16" s="2">
        <v>106</v>
      </c>
      <c r="I16" s="21">
        <v>15</v>
      </c>
      <c r="J16" s="21">
        <v>72</v>
      </c>
      <c r="K16" s="21">
        <v>65</v>
      </c>
      <c r="L16" s="21">
        <v>62</v>
      </c>
      <c r="M16" s="21">
        <v>67</v>
      </c>
      <c r="N16" s="21"/>
      <c r="O16" s="8"/>
      <c r="P16" s="8"/>
      <c r="Q16" s="8"/>
      <c r="R16" s="19"/>
    </row>
    <row r="17" spans="1:23" x14ac:dyDescent="0.3">
      <c r="A17" s="18">
        <v>43206</v>
      </c>
      <c r="B17" s="2">
        <v>35</v>
      </c>
      <c r="C17" s="2">
        <v>9</v>
      </c>
      <c r="D17" s="2">
        <v>260</v>
      </c>
      <c r="I17" s="21">
        <v>16</v>
      </c>
      <c r="J17" s="21">
        <v>73</v>
      </c>
      <c r="K17" s="21">
        <v>67</v>
      </c>
      <c r="L17" s="21">
        <v>66</v>
      </c>
      <c r="M17" s="21">
        <v>69</v>
      </c>
      <c r="N17" s="21"/>
      <c r="O17" s="8"/>
      <c r="P17" s="8"/>
      <c r="Q17" s="8"/>
      <c r="R17" s="19"/>
    </row>
    <row r="18" spans="1:23" x14ac:dyDescent="0.3">
      <c r="A18" s="18">
        <v>43213</v>
      </c>
      <c r="B18" s="2">
        <v>37</v>
      </c>
      <c r="C18" s="2">
        <v>5</v>
      </c>
      <c r="D18" s="2">
        <v>156</v>
      </c>
      <c r="I18" s="21">
        <v>17</v>
      </c>
      <c r="J18" s="21">
        <v>75</v>
      </c>
      <c r="K18" s="21">
        <v>66</v>
      </c>
      <c r="L18" s="21">
        <v>70</v>
      </c>
      <c r="M18" s="21">
        <v>72</v>
      </c>
      <c r="N18" s="21"/>
      <c r="O18" s="8"/>
      <c r="P18" s="8"/>
      <c r="Q18" s="8"/>
      <c r="R18" s="19"/>
    </row>
    <row r="19" spans="1:23" x14ac:dyDescent="0.3">
      <c r="A19" s="18">
        <v>43220</v>
      </c>
      <c r="B19" s="2">
        <v>39</v>
      </c>
      <c r="C19" s="2">
        <v>4</v>
      </c>
      <c r="D19" s="2">
        <v>163</v>
      </c>
      <c r="I19" s="21">
        <v>18</v>
      </c>
      <c r="J19" s="21">
        <v>78</v>
      </c>
      <c r="K19" s="21">
        <v>69</v>
      </c>
      <c r="L19" s="21">
        <v>72</v>
      </c>
      <c r="M19" s="21">
        <v>74</v>
      </c>
      <c r="N19" s="21"/>
      <c r="O19" s="8"/>
      <c r="P19" s="8"/>
      <c r="Q19" s="8"/>
      <c r="R19" s="19"/>
    </row>
    <row r="20" spans="1:23" x14ac:dyDescent="0.3">
      <c r="A20" s="18">
        <v>43227</v>
      </c>
      <c r="B20" s="2">
        <v>41</v>
      </c>
      <c r="C20" s="2">
        <v>6</v>
      </c>
      <c r="D20" s="2">
        <v>173</v>
      </c>
      <c r="I20" s="21">
        <v>19</v>
      </c>
      <c r="J20" s="21">
        <v>80</v>
      </c>
      <c r="K20" s="21">
        <v>72</v>
      </c>
      <c r="L20" s="21">
        <v>74</v>
      </c>
      <c r="M20" s="21">
        <v>76</v>
      </c>
      <c r="N20" s="21"/>
      <c r="O20" s="8"/>
      <c r="P20" s="8"/>
      <c r="Q20" s="8"/>
      <c r="R20" s="19"/>
    </row>
    <row r="21" spans="1:23" x14ac:dyDescent="0.3">
      <c r="A21" s="18">
        <v>43234</v>
      </c>
      <c r="B21" s="2">
        <v>43</v>
      </c>
      <c r="C21" s="2">
        <v>6</v>
      </c>
      <c r="D21" s="2">
        <v>181</v>
      </c>
      <c r="I21" s="21">
        <v>20</v>
      </c>
      <c r="J21" s="21">
        <v>82</v>
      </c>
      <c r="K21" s="21">
        <v>74</v>
      </c>
      <c r="L21" s="21">
        <v>76</v>
      </c>
      <c r="M21" s="21">
        <v>79</v>
      </c>
      <c r="N21" s="21"/>
      <c r="O21" s="8"/>
      <c r="P21" s="8"/>
      <c r="Q21" s="8"/>
      <c r="R21" s="19"/>
    </row>
    <row r="22" spans="1:23" x14ac:dyDescent="0.3">
      <c r="A22" s="18">
        <v>43241</v>
      </c>
      <c r="B22" s="2">
        <v>45</v>
      </c>
      <c r="C22" s="2">
        <v>7</v>
      </c>
      <c r="D22" s="2">
        <v>328</v>
      </c>
      <c r="I22" s="21">
        <v>21</v>
      </c>
      <c r="J22" s="21">
        <v>85</v>
      </c>
      <c r="K22" s="21">
        <v>76</v>
      </c>
      <c r="L22" s="21">
        <v>79</v>
      </c>
      <c r="M22" s="21">
        <v>80</v>
      </c>
      <c r="N22" s="21"/>
      <c r="O22" s="8"/>
      <c r="P22" s="8"/>
      <c r="Q22" s="8"/>
      <c r="R22" s="19"/>
    </row>
    <row r="23" spans="1:23" x14ac:dyDescent="0.3">
      <c r="A23" s="18">
        <v>43248</v>
      </c>
      <c r="B23" s="2">
        <v>47</v>
      </c>
      <c r="C23" s="2">
        <v>5</v>
      </c>
      <c r="D23" s="2">
        <v>244</v>
      </c>
      <c r="I23" s="21">
        <v>22</v>
      </c>
      <c r="J23" s="21">
        <v>87</v>
      </c>
      <c r="K23" s="21">
        <v>78</v>
      </c>
      <c r="L23" s="21">
        <v>80</v>
      </c>
      <c r="M23" s="21">
        <v>83</v>
      </c>
      <c r="N23" s="21"/>
      <c r="O23" s="8"/>
      <c r="P23" s="8"/>
      <c r="Q23" s="8"/>
      <c r="R23" s="19"/>
    </row>
    <row r="24" spans="1:23" x14ac:dyDescent="0.3">
      <c r="A24" s="18">
        <v>43255</v>
      </c>
      <c r="B24" s="2">
        <v>5</v>
      </c>
      <c r="C24" s="2">
        <v>5</v>
      </c>
      <c r="D24" s="2">
        <v>22</v>
      </c>
      <c r="I24" s="21">
        <v>23</v>
      </c>
      <c r="J24" s="21">
        <v>88</v>
      </c>
      <c r="K24" s="21">
        <v>80</v>
      </c>
      <c r="L24" s="21">
        <v>85</v>
      </c>
      <c r="M24" s="21">
        <v>85</v>
      </c>
      <c r="N24" s="21"/>
      <c r="O24" s="8"/>
      <c r="P24" s="8"/>
      <c r="Q24" s="8"/>
      <c r="R24" s="19"/>
    </row>
    <row r="25" spans="1:23" x14ac:dyDescent="0.3">
      <c r="A25" s="18">
        <v>43262</v>
      </c>
      <c r="B25" s="2">
        <v>7</v>
      </c>
      <c r="C25" s="2">
        <v>9</v>
      </c>
      <c r="D25" s="2">
        <v>64</v>
      </c>
      <c r="I25" s="21">
        <v>24</v>
      </c>
      <c r="J25" s="21">
        <v>90</v>
      </c>
      <c r="K25" s="21">
        <v>82</v>
      </c>
      <c r="L25" s="21">
        <v>87</v>
      </c>
      <c r="M25" s="21">
        <v>88</v>
      </c>
      <c r="N25" s="21"/>
      <c r="O25" s="8"/>
      <c r="P25" s="8"/>
      <c r="Q25" s="8"/>
      <c r="R25" s="19"/>
    </row>
    <row r="26" spans="1:23" x14ac:dyDescent="0.3">
      <c r="A26" s="18">
        <v>43269</v>
      </c>
      <c r="B26" s="2">
        <v>9</v>
      </c>
      <c r="C26" s="2">
        <v>5</v>
      </c>
      <c r="D26" s="2">
        <v>44</v>
      </c>
      <c r="I26" s="21">
        <v>25</v>
      </c>
      <c r="J26" s="21">
        <v>92</v>
      </c>
      <c r="K26" s="21">
        <v>84</v>
      </c>
      <c r="L26" s="21">
        <v>88</v>
      </c>
      <c r="M26" s="21">
        <v>90</v>
      </c>
      <c r="N26" s="21"/>
      <c r="O26" s="8"/>
      <c r="P26" s="8"/>
      <c r="Q26" s="8"/>
      <c r="R26" s="19"/>
    </row>
    <row r="27" spans="1:23" x14ac:dyDescent="0.3">
      <c r="A27" s="18">
        <v>43276</v>
      </c>
      <c r="B27" s="2">
        <v>11</v>
      </c>
      <c r="C27" s="2">
        <v>4</v>
      </c>
      <c r="D27" s="2">
        <v>51</v>
      </c>
      <c r="I27" s="21">
        <v>26</v>
      </c>
      <c r="J27" s="21">
        <v>94</v>
      </c>
      <c r="K27" s="21">
        <v>86</v>
      </c>
      <c r="L27" s="21">
        <v>90</v>
      </c>
      <c r="M27" s="21">
        <v>92</v>
      </c>
      <c r="N27" s="21"/>
      <c r="O27" s="8"/>
      <c r="P27" s="8"/>
      <c r="Q27" s="8"/>
      <c r="R27" s="19"/>
    </row>
    <row r="28" spans="1:23" x14ac:dyDescent="0.3">
      <c r="A28" s="18">
        <v>43283</v>
      </c>
      <c r="B28" s="2">
        <v>13</v>
      </c>
      <c r="C28" s="2">
        <v>7</v>
      </c>
      <c r="D28" s="2">
        <v>76</v>
      </c>
      <c r="I28" s="21">
        <v>27</v>
      </c>
      <c r="J28" s="21">
        <v>96</v>
      </c>
      <c r="K28" s="21">
        <v>88</v>
      </c>
      <c r="L28" s="21">
        <v>92</v>
      </c>
      <c r="M28" s="21">
        <v>94</v>
      </c>
      <c r="N28" s="21"/>
      <c r="O28" s="8"/>
      <c r="P28" s="8"/>
      <c r="Q28" s="8"/>
      <c r="R28" s="19"/>
    </row>
    <row r="29" spans="1:23" x14ac:dyDescent="0.3">
      <c r="A29" s="18">
        <v>43290</v>
      </c>
      <c r="B29" s="2">
        <v>15</v>
      </c>
      <c r="C29" s="2">
        <v>6</v>
      </c>
      <c r="D29" s="2">
        <v>69</v>
      </c>
      <c r="I29" s="21">
        <v>28</v>
      </c>
      <c r="J29" s="21">
        <v>97</v>
      </c>
      <c r="K29" s="21">
        <v>90</v>
      </c>
      <c r="L29" s="21">
        <v>94</v>
      </c>
      <c r="M29" s="21">
        <v>96</v>
      </c>
      <c r="N29" s="21"/>
      <c r="O29" s="8"/>
      <c r="P29" s="8"/>
      <c r="Q29" s="8"/>
      <c r="R29" s="19"/>
    </row>
    <row r="30" spans="1:23" x14ac:dyDescent="0.3">
      <c r="A30" s="18">
        <v>43297</v>
      </c>
      <c r="B30" s="2">
        <v>17</v>
      </c>
      <c r="C30" s="2">
        <v>7</v>
      </c>
      <c r="D30" s="2">
        <v>132</v>
      </c>
      <c r="I30" s="21">
        <v>29</v>
      </c>
      <c r="J30" s="21">
        <v>100</v>
      </c>
      <c r="K30" s="21">
        <v>92</v>
      </c>
      <c r="L30" s="21">
        <v>95</v>
      </c>
      <c r="M30" s="21">
        <v>98</v>
      </c>
      <c r="N30" s="21"/>
      <c r="O30" s="8"/>
      <c r="P30" s="8"/>
      <c r="Q30" s="8"/>
      <c r="R30" s="19"/>
    </row>
    <row r="31" spans="1:23" x14ac:dyDescent="0.3">
      <c r="A31" s="18">
        <v>43304</v>
      </c>
      <c r="B31" s="2">
        <v>19</v>
      </c>
      <c r="C31" s="2">
        <v>6</v>
      </c>
      <c r="D31" s="2">
        <v>85</v>
      </c>
      <c r="I31" s="21">
        <v>30</v>
      </c>
      <c r="J31" s="21">
        <v>102</v>
      </c>
      <c r="K31" s="21">
        <v>94</v>
      </c>
      <c r="L31" s="21">
        <v>98</v>
      </c>
      <c r="M31" s="21">
        <v>100</v>
      </c>
      <c r="N31" s="21"/>
      <c r="O31" s="8"/>
      <c r="P31" s="8"/>
      <c r="Q31" s="8"/>
      <c r="R31" s="19"/>
    </row>
    <row r="32" spans="1:23" x14ac:dyDescent="0.3">
      <c r="A32" s="18">
        <v>43311</v>
      </c>
      <c r="B32" s="2">
        <v>21</v>
      </c>
      <c r="C32" s="2">
        <v>5</v>
      </c>
      <c r="D32" s="2">
        <v>70</v>
      </c>
      <c r="I32" s="21">
        <v>31</v>
      </c>
      <c r="J32" s="21">
        <v>105</v>
      </c>
      <c r="K32" s="21">
        <v>96</v>
      </c>
      <c r="L32" s="21">
        <v>100</v>
      </c>
      <c r="M32" s="21">
        <v>102</v>
      </c>
      <c r="N32" s="21"/>
      <c r="O32" s="8"/>
      <c r="P32" s="8"/>
      <c r="Q32" s="8"/>
      <c r="R32" s="19"/>
      <c r="W32" s="8"/>
    </row>
    <row r="33" spans="1:18" x14ac:dyDescent="0.3">
      <c r="A33" s="18">
        <v>43318</v>
      </c>
      <c r="B33" s="2">
        <v>23</v>
      </c>
      <c r="C33" s="2">
        <v>9</v>
      </c>
      <c r="D33" s="2">
        <v>176</v>
      </c>
      <c r="I33" s="21">
        <v>32</v>
      </c>
      <c r="J33" s="21">
        <v>108</v>
      </c>
      <c r="K33" s="21">
        <v>98</v>
      </c>
      <c r="L33" s="21">
        <v>102</v>
      </c>
      <c r="M33" s="21">
        <v>105</v>
      </c>
      <c r="N33" s="21"/>
      <c r="O33" s="8"/>
      <c r="P33" s="8"/>
      <c r="Q33" s="8"/>
      <c r="R33" s="19"/>
    </row>
    <row r="34" spans="1:18" x14ac:dyDescent="0.3">
      <c r="A34" s="18">
        <v>43325</v>
      </c>
      <c r="B34" s="2">
        <v>25</v>
      </c>
      <c r="C34" s="2">
        <v>5</v>
      </c>
      <c r="D34" s="2">
        <v>108</v>
      </c>
      <c r="I34" s="21">
        <v>33</v>
      </c>
      <c r="J34" s="21">
        <v>110</v>
      </c>
      <c r="K34" s="21">
        <v>100</v>
      </c>
      <c r="L34" s="21">
        <v>105</v>
      </c>
      <c r="M34" s="21">
        <v>108</v>
      </c>
      <c r="N34" s="21"/>
      <c r="O34" s="8"/>
      <c r="P34" s="8"/>
      <c r="Q34" s="8"/>
      <c r="R34" s="19"/>
    </row>
    <row r="35" spans="1:18" x14ac:dyDescent="0.3">
      <c r="A35" s="18">
        <v>43332</v>
      </c>
      <c r="B35" s="2">
        <v>27</v>
      </c>
      <c r="C35" s="2">
        <v>4</v>
      </c>
      <c r="D35" s="2">
        <v>115</v>
      </c>
      <c r="I35" s="21">
        <v>34</v>
      </c>
      <c r="J35" s="21">
        <v>112</v>
      </c>
      <c r="K35" s="21">
        <v>102</v>
      </c>
      <c r="L35" s="21">
        <v>108</v>
      </c>
      <c r="M35" s="21">
        <v>110</v>
      </c>
      <c r="N35" s="21"/>
      <c r="O35" s="8"/>
      <c r="P35" s="8"/>
      <c r="Q35" s="8"/>
      <c r="R35" s="19"/>
    </row>
    <row r="36" spans="1:18" x14ac:dyDescent="0.3">
      <c r="A36" s="18">
        <v>43339</v>
      </c>
      <c r="B36" s="2">
        <v>29</v>
      </c>
      <c r="C36" s="2">
        <v>9</v>
      </c>
      <c r="D36" s="2">
        <v>218</v>
      </c>
      <c r="I36" s="21">
        <v>35</v>
      </c>
      <c r="J36" s="21">
        <v>115</v>
      </c>
      <c r="K36" s="21">
        <v>104</v>
      </c>
      <c r="L36" s="21">
        <v>110</v>
      </c>
      <c r="M36" s="21">
        <v>112</v>
      </c>
      <c r="N36" s="21"/>
      <c r="O36" s="8"/>
      <c r="P36" s="8"/>
      <c r="Q36" s="8"/>
      <c r="R36" s="19"/>
    </row>
    <row r="37" spans="1:18" x14ac:dyDescent="0.3">
      <c r="A37" s="18">
        <v>43346</v>
      </c>
      <c r="B37" s="2">
        <v>31</v>
      </c>
      <c r="C37" s="2">
        <v>6</v>
      </c>
      <c r="D37" s="2">
        <v>133</v>
      </c>
      <c r="I37" s="21">
        <v>36</v>
      </c>
      <c r="J37" s="21">
        <v>118</v>
      </c>
      <c r="K37" s="21">
        <v>106</v>
      </c>
      <c r="L37" s="21">
        <v>112</v>
      </c>
      <c r="M37" s="21">
        <v>115</v>
      </c>
      <c r="N37" s="21"/>
      <c r="O37" s="8"/>
      <c r="P37" s="8"/>
      <c r="Q37" s="8"/>
      <c r="R37" s="19"/>
    </row>
    <row r="38" spans="1:18" x14ac:dyDescent="0.3">
      <c r="A38" s="18">
        <v>43353</v>
      </c>
      <c r="B38" s="2">
        <v>33</v>
      </c>
      <c r="C38" s="2">
        <v>7</v>
      </c>
      <c r="D38" s="2">
        <v>244</v>
      </c>
      <c r="I38" s="21">
        <v>37</v>
      </c>
      <c r="J38" s="21">
        <v>120</v>
      </c>
      <c r="K38" s="21">
        <v>108</v>
      </c>
      <c r="L38" s="21">
        <v>115</v>
      </c>
      <c r="M38" s="21">
        <v>118</v>
      </c>
      <c r="N38" s="21"/>
      <c r="O38" s="8"/>
      <c r="P38" s="8"/>
      <c r="Q38" s="8"/>
      <c r="R38" s="19"/>
    </row>
    <row r="39" spans="1:18" x14ac:dyDescent="0.3">
      <c r="A39" s="18">
        <v>43360</v>
      </c>
      <c r="B39" s="2">
        <v>35</v>
      </c>
      <c r="C39" s="2">
        <v>5</v>
      </c>
      <c r="D39" s="2">
        <v>184</v>
      </c>
    </row>
    <row r="40" spans="1:18" x14ac:dyDescent="0.3">
      <c r="A40" s="18">
        <v>43367</v>
      </c>
      <c r="B40" s="2">
        <v>37</v>
      </c>
      <c r="C40" s="2">
        <v>6</v>
      </c>
      <c r="D40" s="2">
        <v>157</v>
      </c>
    </row>
    <row r="41" spans="1:18" x14ac:dyDescent="0.3">
      <c r="A41" s="18">
        <v>43374</v>
      </c>
      <c r="B41" s="2">
        <v>39</v>
      </c>
      <c r="C41" s="2">
        <v>9</v>
      </c>
      <c r="D41" s="2">
        <v>288</v>
      </c>
    </row>
    <row r="42" spans="1:18" x14ac:dyDescent="0.3">
      <c r="A42" s="18">
        <v>43381</v>
      </c>
      <c r="B42" s="2">
        <v>37</v>
      </c>
      <c r="C42" s="2">
        <v>5</v>
      </c>
      <c r="D42" s="2">
        <v>156</v>
      </c>
    </row>
    <row r="43" spans="1:18" x14ac:dyDescent="0.3">
      <c r="A43" s="18">
        <v>43388</v>
      </c>
      <c r="B43" s="2">
        <v>35</v>
      </c>
      <c r="C43" s="2">
        <v>4</v>
      </c>
      <c r="D43" s="2">
        <v>147</v>
      </c>
    </row>
    <row r="44" spans="1:18" x14ac:dyDescent="0.3">
      <c r="A44" s="18">
        <v>43395</v>
      </c>
      <c r="B44" s="2">
        <v>33</v>
      </c>
      <c r="C44" s="2">
        <v>7</v>
      </c>
      <c r="D44" s="2">
        <v>176</v>
      </c>
    </row>
    <row r="45" spans="1:18" x14ac:dyDescent="0.3">
      <c r="A45" s="18">
        <v>43402</v>
      </c>
      <c r="B45" s="2">
        <v>31</v>
      </c>
      <c r="C45" s="2">
        <v>6</v>
      </c>
      <c r="D45" s="2">
        <v>133</v>
      </c>
    </row>
    <row r="46" spans="1:18" x14ac:dyDescent="0.3">
      <c r="A46" s="18">
        <v>43409</v>
      </c>
      <c r="B46" s="2">
        <v>29</v>
      </c>
      <c r="C46" s="2">
        <v>7</v>
      </c>
      <c r="D46" s="2">
        <v>216</v>
      </c>
    </row>
    <row r="47" spans="1:18" x14ac:dyDescent="0.3">
      <c r="A47" s="18">
        <v>43416</v>
      </c>
      <c r="B47" s="2">
        <v>27</v>
      </c>
      <c r="C47" s="2">
        <v>5</v>
      </c>
      <c r="D47" s="2">
        <v>144</v>
      </c>
    </row>
    <row r="48" spans="1:18" x14ac:dyDescent="0.3">
      <c r="A48" s="18">
        <v>43423</v>
      </c>
      <c r="B48" s="2">
        <v>25</v>
      </c>
      <c r="C48" s="2">
        <v>7</v>
      </c>
      <c r="D48" s="2">
        <v>188</v>
      </c>
    </row>
    <row r="49" spans="1:4" x14ac:dyDescent="0.3">
      <c r="A49" s="18">
        <v>43430</v>
      </c>
      <c r="B49" s="2">
        <v>23</v>
      </c>
      <c r="C49" s="2">
        <v>9</v>
      </c>
      <c r="D49" s="2">
        <v>176</v>
      </c>
    </row>
    <row r="50" spans="1:4" x14ac:dyDescent="0.3">
      <c r="A50" s="18">
        <v>43437</v>
      </c>
      <c r="B50" s="2">
        <v>21</v>
      </c>
      <c r="C50" s="2">
        <v>5</v>
      </c>
      <c r="D50" s="2">
        <v>92</v>
      </c>
    </row>
    <row r="51" spans="1:4" x14ac:dyDescent="0.3">
      <c r="A51" s="18">
        <v>43444</v>
      </c>
      <c r="B51" s="2">
        <v>19</v>
      </c>
      <c r="C51" s="2">
        <v>4</v>
      </c>
      <c r="D51" s="2">
        <v>83</v>
      </c>
    </row>
    <row r="52" spans="1:4" x14ac:dyDescent="0.3">
      <c r="A52" s="18">
        <v>43451</v>
      </c>
      <c r="B52" s="2">
        <v>17</v>
      </c>
      <c r="C52" s="2">
        <v>7</v>
      </c>
      <c r="D52" s="2">
        <v>96</v>
      </c>
    </row>
    <row r="53" spans="1:4" x14ac:dyDescent="0.3">
      <c r="A53" s="18">
        <v>43458</v>
      </c>
      <c r="B53" s="2">
        <v>15</v>
      </c>
      <c r="C53" s="2">
        <v>6</v>
      </c>
      <c r="D53" s="2">
        <v>69</v>
      </c>
    </row>
    <row r="54" spans="1:4" x14ac:dyDescent="0.3">
      <c r="A54" s="18">
        <v>43465</v>
      </c>
      <c r="B54" s="2">
        <v>13</v>
      </c>
      <c r="C54" s="2">
        <v>7</v>
      </c>
      <c r="D54" s="2">
        <v>104</v>
      </c>
    </row>
    <row r="55" spans="1:4" x14ac:dyDescent="0.3">
      <c r="A55" s="18">
        <v>43472</v>
      </c>
      <c r="B55" s="2">
        <v>11</v>
      </c>
      <c r="C55" s="2">
        <v>7</v>
      </c>
      <c r="D55" s="2">
        <v>102</v>
      </c>
    </row>
    <row r="56" spans="1:4" x14ac:dyDescent="0.3">
      <c r="A56" s="18">
        <v>43479</v>
      </c>
      <c r="B56" s="2">
        <v>9</v>
      </c>
      <c r="C56" s="2">
        <v>5</v>
      </c>
      <c r="D56" s="2">
        <v>54</v>
      </c>
    </row>
    <row r="57" spans="1:4" x14ac:dyDescent="0.3">
      <c r="A57" s="18">
        <v>43486</v>
      </c>
      <c r="B57" s="2">
        <v>7</v>
      </c>
      <c r="C57" s="2">
        <v>9</v>
      </c>
      <c r="D57" s="2">
        <v>72</v>
      </c>
    </row>
    <row r="58" spans="1:4" x14ac:dyDescent="0.3">
      <c r="A58" s="18">
        <v>43493</v>
      </c>
      <c r="B58" s="2">
        <v>3</v>
      </c>
      <c r="C58" s="2">
        <v>5</v>
      </c>
      <c r="D58" s="2">
        <v>16</v>
      </c>
    </row>
    <row r="59" spans="1:4" x14ac:dyDescent="0.3">
      <c r="A59" s="18">
        <v>43500</v>
      </c>
      <c r="B59" s="2">
        <v>3</v>
      </c>
      <c r="C59" s="2">
        <v>4</v>
      </c>
      <c r="D59" s="2">
        <v>19</v>
      </c>
    </row>
    <row r="60" spans="1:4" x14ac:dyDescent="0.3">
      <c r="A60" s="18">
        <v>43507</v>
      </c>
      <c r="B60" s="2">
        <v>3</v>
      </c>
      <c r="C60" s="2">
        <v>4</v>
      </c>
      <c r="D60" s="2">
        <v>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40"/>
  <sheetViews>
    <sheetView workbookViewId="0">
      <selection activeCell="E6" sqref="E6"/>
    </sheetView>
  </sheetViews>
  <sheetFormatPr defaultRowHeight="14.4" x14ac:dyDescent="0.3"/>
  <cols>
    <col min="1" max="1" width="16.77734375" customWidth="1"/>
    <col min="4" max="4" width="13" customWidth="1"/>
    <col min="5" max="5" width="15.109375" customWidth="1"/>
    <col min="6" max="6" width="15.6640625" bestFit="1" customWidth="1"/>
    <col min="7" max="7" width="14.5546875" customWidth="1"/>
    <col min="8" max="8" width="17.109375" customWidth="1"/>
    <col min="9" max="9" width="15.77734375" customWidth="1"/>
    <col min="12" max="12" width="14.6640625" bestFit="1" customWidth="1"/>
    <col min="14" max="14" width="14.6640625" bestFit="1" customWidth="1"/>
  </cols>
  <sheetData>
    <row r="1" spans="1:14" x14ac:dyDescent="0.3">
      <c r="A1" s="27" t="s">
        <v>70</v>
      </c>
      <c r="B1" s="28" t="s">
        <v>118</v>
      </c>
      <c r="C1" s="28" t="s">
        <v>119</v>
      </c>
    </row>
    <row r="2" spans="1:14" x14ac:dyDescent="0.3">
      <c r="A2" s="29">
        <v>43101</v>
      </c>
      <c r="B2" s="19"/>
      <c r="C2" s="19"/>
      <c r="D2" s="69"/>
      <c r="G2" s="31" t="s">
        <v>120</v>
      </c>
      <c r="H2" s="31" t="s">
        <v>121</v>
      </c>
      <c r="I2" s="31" t="s">
        <v>122</v>
      </c>
    </row>
    <row r="3" spans="1:14" x14ac:dyDescent="0.3">
      <c r="A3" s="29">
        <v>43108</v>
      </c>
      <c r="B3" s="19"/>
      <c r="C3" s="19"/>
      <c r="D3" s="1"/>
      <c r="E3" s="40"/>
      <c r="G3" s="19"/>
      <c r="H3" s="19"/>
      <c r="I3" s="19"/>
    </row>
    <row r="4" spans="1:14" x14ac:dyDescent="0.3">
      <c r="A4" s="29">
        <v>43115</v>
      </c>
      <c r="B4" s="19"/>
      <c r="C4" s="19"/>
      <c r="N4" s="1"/>
    </row>
    <row r="5" spans="1:14" x14ac:dyDescent="0.3">
      <c r="A5" s="29">
        <v>43122</v>
      </c>
      <c r="B5" s="19"/>
      <c r="C5" s="19"/>
      <c r="E5" s="1"/>
    </row>
    <row r="6" spans="1:14" x14ac:dyDescent="0.3">
      <c r="A6" s="29">
        <v>43129</v>
      </c>
      <c r="B6" s="19"/>
      <c r="C6" s="19"/>
      <c r="E6" s="1"/>
      <c r="N6" s="40"/>
    </row>
    <row r="7" spans="1:14" x14ac:dyDescent="0.3">
      <c r="A7" s="29">
        <v>43136</v>
      </c>
      <c r="B7" s="19"/>
      <c r="C7" s="19"/>
      <c r="E7" s="40"/>
      <c r="G7" s="31" t="s">
        <v>124</v>
      </c>
      <c r="H7" s="31" t="s">
        <v>125</v>
      </c>
      <c r="N7" s="39"/>
    </row>
    <row r="8" spans="1:14" x14ac:dyDescent="0.3">
      <c r="A8" s="29">
        <v>43143</v>
      </c>
      <c r="B8" s="19"/>
      <c r="C8" s="19"/>
      <c r="E8" s="1"/>
      <c r="F8" s="1"/>
      <c r="G8" s="59"/>
      <c r="H8" s="59"/>
      <c r="N8" s="1"/>
    </row>
    <row r="9" spans="1:14" x14ac:dyDescent="0.3">
      <c r="A9" s="29">
        <v>43150</v>
      </c>
      <c r="B9" s="19"/>
      <c r="C9" s="19"/>
      <c r="E9" s="40"/>
      <c r="N9" s="1"/>
    </row>
    <row r="10" spans="1:14" x14ac:dyDescent="0.3">
      <c r="A10" s="29">
        <v>43157</v>
      </c>
      <c r="B10" s="19"/>
      <c r="C10" s="19"/>
      <c r="E10" s="68"/>
      <c r="N10" s="40"/>
    </row>
    <row r="11" spans="1:14" x14ac:dyDescent="0.3">
      <c r="A11" s="29">
        <v>43164</v>
      </c>
      <c r="B11" s="19"/>
      <c r="C11" s="19"/>
      <c r="L11" s="1"/>
    </row>
    <row r="12" spans="1:14" x14ac:dyDescent="0.3">
      <c r="A12" s="29">
        <v>43171</v>
      </c>
      <c r="B12" s="19"/>
      <c r="C12" s="19"/>
      <c r="E12" s="1"/>
      <c r="G12" s="31" t="s">
        <v>126</v>
      </c>
      <c r="H12" s="31" t="s">
        <v>127</v>
      </c>
      <c r="L12" s="40"/>
    </row>
    <row r="13" spans="1:14" x14ac:dyDescent="0.3">
      <c r="A13" s="29">
        <v>43178</v>
      </c>
      <c r="B13" s="19"/>
      <c r="C13" s="19"/>
      <c r="E13" s="68"/>
      <c r="G13" s="59"/>
      <c r="H13" s="59"/>
      <c r="L13" s="1"/>
    </row>
    <row r="14" spans="1:14" x14ac:dyDescent="0.3">
      <c r="A14" s="29">
        <v>43185</v>
      </c>
      <c r="B14" s="19"/>
      <c r="C14" s="19"/>
    </row>
    <row r="15" spans="1:14" x14ac:dyDescent="0.3">
      <c r="A15" s="29">
        <v>43192</v>
      </c>
      <c r="B15" s="19"/>
      <c r="C15" s="19"/>
    </row>
    <row r="16" spans="1:14" x14ac:dyDescent="0.3">
      <c r="A16" s="29">
        <v>43199</v>
      </c>
      <c r="B16" s="19"/>
      <c r="C16" s="19"/>
      <c r="G16" s="31" t="s">
        <v>128</v>
      </c>
      <c r="H16" s="31" t="s">
        <v>129</v>
      </c>
    </row>
    <row r="17" spans="1:8" x14ac:dyDescent="0.3">
      <c r="A17" s="29">
        <v>43206</v>
      </c>
      <c r="B17" s="19"/>
      <c r="C17" s="19"/>
      <c r="E17" s="1"/>
      <c r="F17" s="1"/>
      <c r="G17" s="59"/>
      <c r="H17" s="59"/>
    </row>
    <row r="18" spans="1:8" x14ac:dyDescent="0.3">
      <c r="A18" s="29">
        <v>43213</v>
      </c>
      <c r="B18" s="19"/>
      <c r="C18" s="19"/>
    </row>
    <row r="19" spans="1:8" x14ac:dyDescent="0.3">
      <c r="A19" s="29">
        <v>43220</v>
      </c>
      <c r="B19" s="19"/>
      <c r="C19" s="19"/>
    </row>
    <row r="20" spans="1:8" x14ac:dyDescent="0.3">
      <c r="A20" s="29">
        <v>43227</v>
      </c>
      <c r="B20" s="19"/>
      <c r="C20" s="19"/>
    </row>
    <row r="21" spans="1:8" x14ac:dyDescent="0.3">
      <c r="A21" s="29">
        <v>43234</v>
      </c>
      <c r="B21" s="19"/>
      <c r="C21" s="19"/>
    </row>
    <row r="22" spans="1:8" x14ac:dyDescent="0.3">
      <c r="A22" s="29">
        <v>43241</v>
      </c>
      <c r="B22" s="19"/>
      <c r="C22" s="19"/>
    </row>
    <row r="23" spans="1:8" x14ac:dyDescent="0.3">
      <c r="A23" s="29">
        <v>43248</v>
      </c>
      <c r="B23" s="19"/>
      <c r="C23" s="19"/>
    </row>
    <row r="24" spans="1:8" x14ac:dyDescent="0.3">
      <c r="A24" s="29">
        <v>43255</v>
      </c>
      <c r="B24" s="19"/>
      <c r="C24" s="19"/>
    </row>
    <row r="25" spans="1:8" x14ac:dyDescent="0.3">
      <c r="A25" s="29">
        <v>43262</v>
      </c>
      <c r="B25" s="19"/>
      <c r="C25" s="19"/>
    </row>
    <row r="26" spans="1:8" x14ac:dyDescent="0.3">
      <c r="A26" s="29">
        <v>43269</v>
      </c>
      <c r="B26" s="19"/>
      <c r="C26" s="19"/>
    </row>
    <row r="27" spans="1:8" x14ac:dyDescent="0.3">
      <c r="A27" s="29">
        <v>43276</v>
      </c>
      <c r="B27" s="19"/>
      <c r="C27" s="19"/>
    </row>
    <row r="28" spans="1:8" x14ac:dyDescent="0.3">
      <c r="A28" s="29">
        <v>43283</v>
      </c>
      <c r="B28" s="19"/>
      <c r="C28" s="19"/>
    </row>
    <row r="29" spans="1:8" x14ac:dyDescent="0.3">
      <c r="A29" s="29">
        <v>43290</v>
      </c>
      <c r="B29" s="19"/>
      <c r="C29" s="19"/>
    </row>
    <row r="30" spans="1:8" x14ac:dyDescent="0.3">
      <c r="A30" s="29">
        <v>43297</v>
      </c>
      <c r="B30" s="19"/>
      <c r="C30" s="19"/>
    </row>
    <row r="31" spans="1:8" x14ac:dyDescent="0.3">
      <c r="A31" s="29">
        <v>43304</v>
      </c>
      <c r="B31" s="19"/>
      <c r="C31" s="19"/>
    </row>
    <row r="32" spans="1:8" x14ac:dyDescent="0.3">
      <c r="A32" s="29">
        <v>43311</v>
      </c>
      <c r="B32" s="19"/>
      <c r="C32" s="19"/>
    </row>
    <row r="33" spans="1:3" x14ac:dyDescent="0.3">
      <c r="A33" s="29">
        <v>43318</v>
      </c>
      <c r="B33" s="19"/>
      <c r="C33" s="19"/>
    </row>
    <row r="34" spans="1:3" x14ac:dyDescent="0.3">
      <c r="A34" s="29">
        <v>43325</v>
      </c>
      <c r="B34" s="19"/>
      <c r="C34" s="19"/>
    </row>
    <row r="35" spans="1:3" x14ac:dyDescent="0.3">
      <c r="A35" s="29">
        <v>43332</v>
      </c>
      <c r="B35" s="19"/>
      <c r="C35" s="19"/>
    </row>
    <row r="36" spans="1:3" x14ac:dyDescent="0.3">
      <c r="A36" s="29">
        <v>43339</v>
      </c>
      <c r="B36" s="19"/>
      <c r="C36" s="19"/>
    </row>
    <row r="37" spans="1:3" x14ac:dyDescent="0.3">
      <c r="A37" s="29">
        <v>43346</v>
      </c>
      <c r="B37" s="19"/>
      <c r="C37" s="19"/>
    </row>
    <row r="38" spans="1:3" x14ac:dyDescent="0.3">
      <c r="A38" s="29">
        <v>43353</v>
      </c>
      <c r="B38" s="19"/>
      <c r="C38" s="19"/>
    </row>
    <row r="39" spans="1:3" x14ac:dyDescent="0.3">
      <c r="A39" s="29">
        <v>43360</v>
      </c>
      <c r="B39" s="19"/>
      <c r="C39" s="19"/>
    </row>
    <row r="40" spans="1:3" x14ac:dyDescent="0.3">
      <c r="A40" s="29">
        <v>43367</v>
      </c>
      <c r="B40" s="19"/>
      <c r="C40" s="1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K111"/>
  <sheetViews>
    <sheetView topLeftCell="A62" zoomScale="85" zoomScaleNormal="85" workbookViewId="0">
      <selection activeCell="F66" sqref="F66"/>
    </sheetView>
  </sheetViews>
  <sheetFormatPr defaultRowHeight="14.4" x14ac:dyDescent="0.3"/>
  <cols>
    <col min="1" max="1" width="24.21875" customWidth="1"/>
    <col min="2" max="2" width="13.44140625" customWidth="1"/>
    <col min="3" max="3" width="21.109375" customWidth="1"/>
    <col min="4" max="4" width="18.6640625" customWidth="1"/>
    <col min="5" max="5" width="16.6640625" customWidth="1"/>
    <col min="6" max="7" width="11.5546875" customWidth="1"/>
    <col min="8" max="8" width="19.5546875" customWidth="1"/>
    <col min="9" max="9" width="15.6640625" customWidth="1"/>
    <col min="10" max="10" width="15.5546875" customWidth="1"/>
    <col min="11" max="12" width="14.77734375" customWidth="1"/>
    <col min="13" max="13" width="10.5546875" customWidth="1"/>
    <col min="14" max="14" width="11.5546875" bestFit="1" customWidth="1"/>
    <col min="15" max="15" width="10.5546875" bestFit="1" customWidth="1"/>
    <col min="16" max="17" width="14.77734375" bestFit="1" customWidth="1"/>
    <col min="18" max="18" width="11.5546875" bestFit="1" customWidth="1"/>
    <col min="19" max="19" width="14.77734375" bestFit="1" customWidth="1"/>
    <col min="20" max="20" width="11.5546875" bestFit="1" customWidth="1"/>
    <col min="21" max="21" width="14.77734375" bestFit="1" customWidth="1"/>
    <col min="22" max="22" width="10.5546875" bestFit="1" customWidth="1"/>
    <col min="23" max="23" width="11.5546875" bestFit="1" customWidth="1"/>
  </cols>
  <sheetData>
    <row r="2" spans="2:9" ht="20.399999999999999" customHeight="1" x14ac:dyDescent="0.3">
      <c r="B2" s="103" t="s">
        <v>159</v>
      </c>
      <c r="C2" s="103"/>
      <c r="D2" s="103"/>
      <c r="E2" s="103"/>
    </row>
    <row r="3" spans="2:9" x14ac:dyDescent="0.3">
      <c r="B3" s="37" t="s">
        <v>158</v>
      </c>
      <c r="C3" s="30" t="s">
        <v>62</v>
      </c>
      <c r="D3" s="30" t="s">
        <v>138</v>
      </c>
      <c r="E3" s="30" t="s">
        <v>139</v>
      </c>
      <c r="H3" s="30" t="s">
        <v>62</v>
      </c>
      <c r="I3" s="63" t="s">
        <v>139</v>
      </c>
    </row>
    <row r="4" spans="2:9" x14ac:dyDescent="0.3">
      <c r="B4" s="8">
        <v>1</v>
      </c>
      <c r="C4" s="21" t="s">
        <v>140</v>
      </c>
      <c r="D4" s="21" t="s">
        <v>141</v>
      </c>
      <c r="E4" s="21">
        <v>120</v>
      </c>
      <c r="H4" s="19"/>
      <c r="I4" s="19"/>
    </row>
    <row r="5" spans="2:9" x14ac:dyDescent="0.3">
      <c r="B5" s="8">
        <v>2</v>
      </c>
      <c r="C5" s="21" t="s">
        <v>142</v>
      </c>
      <c r="D5" s="21" t="s">
        <v>123</v>
      </c>
      <c r="E5" s="21">
        <v>200</v>
      </c>
    </row>
    <row r="6" spans="2:9" x14ac:dyDescent="0.3">
      <c r="B6" s="8">
        <v>3</v>
      </c>
      <c r="C6" s="21" t="s">
        <v>143</v>
      </c>
      <c r="D6" s="21" t="s">
        <v>144</v>
      </c>
      <c r="E6" s="21">
        <v>150</v>
      </c>
      <c r="H6" s="60" t="s">
        <v>62</v>
      </c>
      <c r="I6" s="63" t="s">
        <v>138</v>
      </c>
    </row>
    <row r="7" spans="2:9" x14ac:dyDescent="0.3">
      <c r="B7" s="8">
        <v>4</v>
      </c>
      <c r="C7" s="21" t="s">
        <v>145</v>
      </c>
      <c r="D7" s="21" t="s">
        <v>141</v>
      </c>
      <c r="E7" s="21">
        <v>180</v>
      </c>
      <c r="H7" s="19"/>
      <c r="I7" s="19"/>
    </row>
    <row r="8" spans="2:9" x14ac:dyDescent="0.3">
      <c r="B8" s="8">
        <v>5</v>
      </c>
      <c r="C8" s="21" t="s">
        <v>146</v>
      </c>
      <c r="D8" s="21" t="s">
        <v>123</v>
      </c>
      <c r="E8" s="21">
        <v>140</v>
      </c>
    </row>
    <row r="12" spans="2:9" ht="18" x14ac:dyDescent="0.35">
      <c r="B12" s="104" t="s">
        <v>130</v>
      </c>
      <c r="C12" s="104"/>
      <c r="D12" s="104"/>
    </row>
    <row r="13" spans="2:9" x14ac:dyDescent="0.3">
      <c r="B13" s="90" t="s">
        <v>62</v>
      </c>
      <c r="C13" s="91" t="s">
        <v>131</v>
      </c>
      <c r="D13" s="92" t="s">
        <v>132</v>
      </c>
      <c r="G13" s="33" t="s">
        <v>62</v>
      </c>
      <c r="H13" s="33" t="s">
        <v>131</v>
      </c>
    </row>
    <row r="14" spans="2:9" ht="13.2" customHeight="1" x14ac:dyDescent="0.3">
      <c r="B14" s="86" t="s">
        <v>133</v>
      </c>
      <c r="C14" s="32">
        <v>10</v>
      </c>
      <c r="D14" s="88">
        <v>5000</v>
      </c>
      <c r="G14" s="19"/>
      <c r="H14" s="19"/>
      <c r="I14" s="20"/>
    </row>
    <row r="15" spans="2:9" x14ac:dyDescent="0.3">
      <c r="B15" s="86" t="s">
        <v>134</v>
      </c>
      <c r="C15" s="32">
        <v>15</v>
      </c>
      <c r="D15" s="88">
        <v>9000</v>
      </c>
      <c r="G15" s="19"/>
      <c r="H15" s="19"/>
      <c r="I15" s="20"/>
    </row>
    <row r="16" spans="2:9" x14ac:dyDescent="0.3">
      <c r="B16" s="86" t="s">
        <v>135</v>
      </c>
      <c r="C16" s="32">
        <v>6</v>
      </c>
      <c r="D16" s="88">
        <v>6000</v>
      </c>
    </row>
    <row r="17" spans="2:8" x14ac:dyDescent="0.3">
      <c r="B17" s="86" t="s">
        <v>136</v>
      </c>
      <c r="C17" s="32">
        <v>20</v>
      </c>
      <c r="D17" s="88">
        <v>30000</v>
      </c>
      <c r="G17" s="33" t="s">
        <v>62</v>
      </c>
      <c r="H17" s="33" t="s">
        <v>132</v>
      </c>
    </row>
    <row r="18" spans="2:8" x14ac:dyDescent="0.3">
      <c r="B18" s="86" t="s">
        <v>137</v>
      </c>
      <c r="C18" s="32">
        <v>10</v>
      </c>
      <c r="D18" s="88">
        <v>50000</v>
      </c>
      <c r="G18" s="19"/>
      <c r="H18" s="19"/>
    </row>
    <row r="19" spans="2:8" x14ac:dyDescent="0.3">
      <c r="B19" s="87" t="s">
        <v>116</v>
      </c>
      <c r="C19" s="85">
        <v>40</v>
      </c>
      <c r="D19" s="89">
        <v>90000</v>
      </c>
    </row>
    <row r="20" spans="2:8" x14ac:dyDescent="0.3">
      <c r="B20" s="93" t="s">
        <v>322</v>
      </c>
      <c r="C20" s="94">
        <v>1</v>
      </c>
      <c r="D20" s="95">
        <v>20000</v>
      </c>
    </row>
    <row r="21" spans="2:8" ht="16.2" customHeight="1" x14ac:dyDescent="0.3"/>
    <row r="23" spans="2:8" ht="15.6" x14ac:dyDescent="0.3">
      <c r="B23" s="105" t="s">
        <v>147</v>
      </c>
      <c r="C23" s="105"/>
      <c r="D23" s="105"/>
      <c r="G23" s="33" t="s">
        <v>62</v>
      </c>
      <c r="H23" s="33" t="s">
        <v>131</v>
      </c>
    </row>
    <row r="24" spans="2:8" ht="16.2" customHeight="1" x14ac:dyDescent="0.3">
      <c r="B24" s="90" t="s">
        <v>62</v>
      </c>
      <c r="C24" s="91" t="s">
        <v>131</v>
      </c>
      <c r="D24" s="92" t="s">
        <v>132</v>
      </c>
      <c r="E24" s="20"/>
      <c r="G24" s="19"/>
      <c r="H24" s="19"/>
    </row>
    <row r="25" spans="2:8" x14ac:dyDescent="0.3">
      <c r="B25" s="86" t="s">
        <v>133</v>
      </c>
      <c r="C25" s="32">
        <v>10</v>
      </c>
      <c r="D25" s="88">
        <v>5000</v>
      </c>
    </row>
    <row r="26" spans="2:8" x14ac:dyDescent="0.3">
      <c r="B26" s="86" t="s">
        <v>134</v>
      </c>
      <c r="C26" s="32">
        <v>15</v>
      </c>
      <c r="D26" s="88">
        <v>9000</v>
      </c>
    </row>
    <row r="27" spans="2:8" x14ac:dyDescent="0.3">
      <c r="B27" s="86" t="s">
        <v>135</v>
      </c>
      <c r="C27" s="32">
        <v>6</v>
      </c>
      <c r="D27" s="88">
        <v>6000</v>
      </c>
      <c r="G27" s="33" t="s">
        <v>62</v>
      </c>
      <c r="H27" s="33" t="s">
        <v>132</v>
      </c>
    </row>
    <row r="28" spans="2:8" x14ac:dyDescent="0.3">
      <c r="B28" s="86" t="s">
        <v>136</v>
      </c>
      <c r="C28" s="32">
        <v>20</v>
      </c>
      <c r="D28" s="88">
        <v>30000</v>
      </c>
      <c r="G28" s="19"/>
      <c r="H28" s="19"/>
    </row>
    <row r="29" spans="2:8" x14ac:dyDescent="0.3">
      <c r="B29" s="93" t="s">
        <v>137</v>
      </c>
      <c r="C29" s="94">
        <v>10</v>
      </c>
      <c r="D29" s="95">
        <v>50000</v>
      </c>
    </row>
    <row r="34" spans="2:11" ht="21" x14ac:dyDescent="0.3">
      <c r="B34" s="100" t="s">
        <v>154</v>
      </c>
      <c r="C34" s="101"/>
      <c r="D34" s="101"/>
      <c r="E34" s="101"/>
      <c r="F34" s="102"/>
    </row>
    <row r="35" spans="2:11" ht="15.6" x14ac:dyDescent="0.3">
      <c r="B35" s="34" t="s">
        <v>0</v>
      </c>
      <c r="C35" s="35" t="s">
        <v>112</v>
      </c>
      <c r="D35" s="35" t="s">
        <v>152</v>
      </c>
      <c r="E35" s="35" t="s">
        <v>148</v>
      </c>
      <c r="F35" s="35" t="s">
        <v>153</v>
      </c>
      <c r="H35" s="36" t="s">
        <v>0</v>
      </c>
      <c r="I35" s="36" t="s">
        <v>151</v>
      </c>
      <c r="K35" s="36" t="s">
        <v>0</v>
      </c>
    </row>
    <row r="36" spans="2:11" ht="15.6" x14ac:dyDescent="0.3">
      <c r="B36" s="34" t="s">
        <v>149</v>
      </c>
      <c r="C36" s="35">
        <v>22</v>
      </c>
      <c r="D36" s="35">
        <v>23</v>
      </c>
      <c r="E36" s="35">
        <v>24</v>
      </c>
      <c r="F36" s="35">
        <v>25</v>
      </c>
      <c r="H36" s="84"/>
      <c r="I36" s="19"/>
    </row>
    <row r="37" spans="2:11" ht="15.6" x14ac:dyDescent="0.3">
      <c r="B37" s="34" t="s">
        <v>150</v>
      </c>
      <c r="C37" s="35">
        <v>1</v>
      </c>
      <c r="D37" s="35">
        <v>4</v>
      </c>
      <c r="E37" s="35">
        <v>3</v>
      </c>
      <c r="F37" s="35">
        <v>2</v>
      </c>
    </row>
    <row r="38" spans="2:11" ht="15.6" x14ac:dyDescent="0.3">
      <c r="B38" s="34" t="s">
        <v>151</v>
      </c>
      <c r="C38" s="35">
        <v>40000</v>
      </c>
      <c r="D38" s="35">
        <v>20000</v>
      </c>
      <c r="E38" s="35">
        <v>30000</v>
      </c>
      <c r="F38" s="35">
        <v>5000</v>
      </c>
    </row>
    <row r="39" spans="2:11" ht="15.6" customHeight="1" x14ac:dyDescent="0.3"/>
    <row r="42" spans="2:11" ht="18" x14ac:dyDescent="0.35">
      <c r="B42" s="106" t="s">
        <v>154</v>
      </c>
      <c r="C42" s="107"/>
      <c r="D42" s="107"/>
      <c r="E42" s="107"/>
      <c r="F42" s="107"/>
      <c r="G42" s="108"/>
    </row>
    <row r="43" spans="2:11" ht="24" customHeight="1" x14ac:dyDescent="0.3">
      <c r="B43" s="26" t="s">
        <v>62</v>
      </c>
      <c r="C43" s="26" t="s">
        <v>138</v>
      </c>
      <c r="D43" s="26" t="s">
        <v>139</v>
      </c>
      <c r="E43" s="26" t="s">
        <v>155</v>
      </c>
      <c r="F43" s="26" t="s">
        <v>156</v>
      </c>
      <c r="G43" s="26" t="s">
        <v>157</v>
      </c>
      <c r="I43" s="26" t="s">
        <v>13</v>
      </c>
      <c r="J43" s="26" t="s">
        <v>155</v>
      </c>
    </row>
    <row r="44" spans="2:11" x14ac:dyDescent="0.3">
      <c r="B44" s="21" t="s">
        <v>140</v>
      </c>
      <c r="C44" s="21" t="s">
        <v>141</v>
      </c>
      <c r="D44" s="21">
        <v>120</v>
      </c>
      <c r="E44" s="21">
        <v>35</v>
      </c>
      <c r="F44" s="21">
        <v>5</v>
      </c>
      <c r="G44" s="21">
        <v>115</v>
      </c>
      <c r="I44" s="19"/>
      <c r="J44" s="19"/>
    </row>
    <row r="45" spans="2:11" x14ac:dyDescent="0.3">
      <c r="B45" s="21" t="s">
        <v>142</v>
      </c>
      <c r="C45" s="21" t="s">
        <v>123</v>
      </c>
      <c r="D45" s="21">
        <v>200</v>
      </c>
      <c r="E45" s="21">
        <v>45</v>
      </c>
      <c r="F45" s="21">
        <v>10</v>
      </c>
      <c r="G45" s="21">
        <v>235</v>
      </c>
    </row>
    <row r="46" spans="2:11" x14ac:dyDescent="0.3">
      <c r="B46" s="21" t="s">
        <v>143</v>
      </c>
      <c r="C46" s="21" t="s">
        <v>144</v>
      </c>
      <c r="D46" s="21">
        <v>150</v>
      </c>
      <c r="E46" s="21">
        <v>55</v>
      </c>
      <c r="F46" s="21">
        <v>15</v>
      </c>
      <c r="G46" s="21">
        <v>290</v>
      </c>
    </row>
    <row r="47" spans="2:11" x14ac:dyDescent="0.3">
      <c r="B47" s="21" t="s">
        <v>145</v>
      </c>
      <c r="C47" s="21" t="s">
        <v>141</v>
      </c>
      <c r="D47" s="21">
        <v>180</v>
      </c>
      <c r="E47" s="21">
        <v>25</v>
      </c>
      <c r="F47" s="21">
        <v>8</v>
      </c>
      <c r="G47" s="21">
        <v>220</v>
      </c>
    </row>
    <row r="48" spans="2:11" x14ac:dyDescent="0.3">
      <c r="B48" s="21" t="s">
        <v>146</v>
      </c>
      <c r="C48" s="21" t="s">
        <v>123</v>
      </c>
      <c r="D48" s="21">
        <v>140</v>
      </c>
      <c r="E48" s="21">
        <v>50</v>
      </c>
      <c r="F48" s="21">
        <v>12</v>
      </c>
      <c r="G48" s="21">
        <v>178</v>
      </c>
    </row>
    <row r="51" spans="2:10" ht="18" x14ac:dyDescent="0.35">
      <c r="B51" s="109" t="s">
        <v>154</v>
      </c>
      <c r="C51" s="110"/>
      <c r="D51" s="110"/>
      <c r="E51" s="110"/>
      <c r="F51" s="110"/>
      <c r="G51" s="111"/>
    </row>
    <row r="52" spans="2:10" x14ac:dyDescent="0.3">
      <c r="B52" s="33" t="s">
        <v>62</v>
      </c>
      <c r="C52" s="33" t="s">
        <v>133</v>
      </c>
      <c r="D52" s="33" t="s">
        <v>134</v>
      </c>
      <c r="E52" s="33" t="s">
        <v>135</v>
      </c>
      <c r="F52" s="33" t="s">
        <v>136</v>
      </c>
      <c r="G52" s="33" t="s">
        <v>137</v>
      </c>
      <c r="I52" s="33" t="s">
        <v>133</v>
      </c>
      <c r="J52" s="19"/>
    </row>
    <row r="53" spans="2:10" x14ac:dyDescent="0.3">
      <c r="B53" s="33" t="s">
        <v>131</v>
      </c>
      <c r="C53" s="32">
        <v>10</v>
      </c>
      <c r="D53" s="32">
        <v>15</v>
      </c>
      <c r="E53" s="32">
        <v>6</v>
      </c>
      <c r="F53" s="32">
        <v>20</v>
      </c>
      <c r="G53" s="32">
        <v>10</v>
      </c>
    </row>
    <row r="54" spans="2:10" x14ac:dyDescent="0.3">
      <c r="B54" s="33" t="s">
        <v>132</v>
      </c>
      <c r="C54" s="32">
        <v>5000</v>
      </c>
      <c r="D54" s="32">
        <v>9000</v>
      </c>
      <c r="E54" s="32">
        <v>6000</v>
      </c>
      <c r="F54" s="32">
        <v>30000</v>
      </c>
      <c r="G54" s="32">
        <v>50000</v>
      </c>
    </row>
    <row r="57" spans="2:10" ht="20.399999999999999" customHeight="1" x14ac:dyDescent="0.3">
      <c r="B57" s="100" t="s">
        <v>208</v>
      </c>
      <c r="C57" s="101"/>
      <c r="D57" s="101"/>
      <c r="E57" s="102"/>
    </row>
    <row r="58" spans="2:10" ht="19.2" customHeight="1" x14ac:dyDescent="0.3">
      <c r="B58" s="23" t="s">
        <v>158</v>
      </c>
      <c r="C58" s="41" t="s">
        <v>62</v>
      </c>
      <c r="D58" s="41" t="s">
        <v>138</v>
      </c>
      <c r="E58" s="41" t="s">
        <v>139</v>
      </c>
      <c r="H58" s="41" t="s">
        <v>62</v>
      </c>
      <c r="I58" s="41" t="s">
        <v>139</v>
      </c>
    </row>
    <row r="59" spans="2:10" x14ac:dyDescent="0.3">
      <c r="B59" s="8">
        <v>1</v>
      </c>
      <c r="C59" s="21" t="s">
        <v>140</v>
      </c>
      <c r="D59" s="21" t="s">
        <v>141</v>
      </c>
      <c r="E59" s="21">
        <v>120</v>
      </c>
    </row>
    <row r="60" spans="2:10" x14ac:dyDescent="0.3">
      <c r="B60" s="8">
        <v>2</v>
      </c>
      <c r="C60" s="21" t="s">
        <v>142</v>
      </c>
      <c r="D60" s="21" t="s">
        <v>123</v>
      </c>
      <c r="E60" s="21">
        <v>200</v>
      </c>
    </row>
    <row r="61" spans="2:10" x14ac:dyDescent="0.3">
      <c r="B61" s="8">
        <v>3</v>
      </c>
      <c r="C61" s="21" t="s">
        <v>143</v>
      </c>
      <c r="D61" s="21" t="s">
        <v>144</v>
      </c>
      <c r="E61" s="21">
        <v>150</v>
      </c>
    </row>
    <row r="62" spans="2:10" x14ac:dyDescent="0.3">
      <c r="B62" s="8">
        <v>4</v>
      </c>
      <c r="C62" s="21" t="s">
        <v>145</v>
      </c>
      <c r="D62" s="21" t="s">
        <v>141</v>
      </c>
      <c r="E62" s="21">
        <v>180</v>
      </c>
    </row>
    <row r="63" spans="2:10" x14ac:dyDescent="0.3">
      <c r="B63" s="8">
        <v>5</v>
      </c>
      <c r="C63" s="21" t="s">
        <v>146</v>
      </c>
      <c r="D63" s="21" t="s">
        <v>123</v>
      </c>
      <c r="E63" s="21">
        <v>140</v>
      </c>
    </row>
    <row r="64" spans="2:10" x14ac:dyDescent="0.3">
      <c r="B64" s="46"/>
      <c r="C64" s="47"/>
      <c r="D64" s="47"/>
      <c r="E64" s="47"/>
    </row>
    <row r="65" spans="1:11" x14ac:dyDescent="0.3">
      <c r="B65" s="46"/>
      <c r="C65" s="47"/>
      <c r="D65" s="47"/>
      <c r="E65" s="47"/>
    </row>
    <row r="66" spans="1:11" x14ac:dyDescent="0.3">
      <c r="B66" s="46"/>
      <c r="C66" s="47"/>
      <c r="D66" s="47"/>
      <c r="E66" s="47"/>
    </row>
    <row r="67" spans="1:11" x14ac:dyDescent="0.3">
      <c r="B67" s="46"/>
      <c r="C67" s="47"/>
      <c r="D67" s="47"/>
      <c r="E67" s="47"/>
    </row>
    <row r="68" spans="1:11" ht="21" x14ac:dyDescent="0.4">
      <c r="B68" s="112" t="s">
        <v>130</v>
      </c>
      <c r="C68" s="113"/>
      <c r="D68" s="113"/>
      <c r="E68" s="114"/>
    </row>
    <row r="69" spans="1:11" ht="15.6" x14ac:dyDescent="0.3">
      <c r="A69" t="s">
        <v>324</v>
      </c>
      <c r="B69" s="64" t="s">
        <v>160</v>
      </c>
      <c r="C69" s="62" t="s">
        <v>161</v>
      </c>
      <c r="D69" s="44" t="s">
        <v>162</v>
      </c>
      <c r="E69" s="38" t="s">
        <v>13</v>
      </c>
    </row>
    <row r="70" spans="1:11" ht="15.6" x14ac:dyDescent="0.3">
      <c r="B70" s="42" t="s">
        <v>163</v>
      </c>
      <c r="C70" s="42" t="s">
        <v>164</v>
      </c>
      <c r="D70" s="42" t="s">
        <v>165</v>
      </c>
      <c r="E70" s="43" t="s">
        <v>166</v>
      </c>
      <c r="H70" s="44" t="s">
        <v>160</v>
      </c>
      <c r="I70" s="44" t="s">
        <v>13</v>
      </c>
    </row>
    <row r="71" spans="1:11" ht="15.6" x14ac:dyDescent="0.3">
      <c r="B71" s="42" t="s">
        <v>167</v>
      </c>
      <c r="C71" s="42" t="s">
        <v>168</v>
      </c>
      <c r="D71" s="42" t="s">
        <v>169</v>
      </c>
      <c r="E71" s="43" t="s">
        <v>170</v>
      </c>
      <c r="H71" s="42"/>
      <c r="I71" s="19"/>
    </row>
    <row r="72" spans="1:11" ht="15.6" x14ac:dyDescent="0.3">
      <c r="B72" s="42" t="s">
        <v>171</v>
      </c>
      <c r="C72" s="42" t="s">
        <v>164</v>
      </c>
      <c r="D72" s="42" t="s">
        <v>172</v>
      </c>
      <c r="E72" s="43" t="s">
        <v>173</v>
      </c>
      <c r="H72" s="45"/>
      <c r="I72" s="20"/>
      <c r="J72" s="20"/>
      <c r="K72" s="20"/>
    </row>
    <row r="73" spans="1:11" ht="15.6" x14ac:dyDescent="0.3">
      <c r="B73" s="42" t="s">
        <v>174</v>
      </c>
      <c r="C73" s="42" t="s">
        <v>164</v>
      </c>
      <c r="D73" s="42" t="s">
        <v>172</v>
      </c>
      <c r="E73" s="43" t="s">
        <v>175</v>
      </c>
      <c r="H73" s="121" t="s">
        <v>306</v>
      </c>
      <c r="I73" s="121"/>
      <c r="J73" s="121"/>
      <c r="K73" s="121"/>
    </row>
    <row r="74" spans="1:11" ht="15.6" x14ac:dyDescent="0.3">
      <c r="B74" s="42" t="s">
        <v>176</v>
      </c>
      <c r="C74" s="42" t="s">
        <v>164</v>
      </c>
      <c r="D74" s="42" t="s">
        <v>177</v>
      </c>
      <c r="E74" s="43" t="s">
        <v>178</v>
      </c>
      <c r="H74" s="44" t="s">
        <v>160</v>
      </c>
      <c r="I74" s="44" t="s">
        <v>161</v>
      </c>
      <c r="J74" s="44" t="s">
        <v>162</v>
      </c>
      <c r="K74" s="38" t="s">
        <v>13</v>
      </c>
    </row>
    <row r="75" spans="1:11" ht="15.6" x14ac:dyDescent="0.3">
      <c r="B75" s="42" t="s">
        <v>179</v>
      </c>
      <c r="C75" s="42" t="s">
        <v>164</v>
      </c>
      <c r="D75" s="42" t="s">
        <v>172</v>
      </c>
      <c r="E75" s="43" t="s">
        <v>173</v>
      </c>
      <c r="H75" s="42" t="s">
        <v>205</v>
      </c>
      <c r="I75" s="19" t="str">
        <f>VLOOKUP($H$75,$B$69:$E$91,COLUMNS($H$74:I74),0)</f>
        <v>Furniture</v>
      </c>
      <c r="J75" s="19" t="str">
        <f>VLOOKUP($H$75,$B$69:$E$91,COLUMNS($H$74:J74),0)</f>
        <v>Tables</v>
      </c>
      <c r="K75" s="19" t="str">
        <f>VLOOKUP($H$75,$B$69:$E$91,COLUMNS($H$74:K74),0)</f>
        <v>steel</v>
      </c>
    </row>
    <row r="76" spans="1:11" ht="15.6" x14ac:dyDescent="0.3">
      <c r="B76" s="42" t="s">
        <v>180</v>
      </c>
      <c r="C76" s="42" t="s">
        <v>168</v>
      </c>
      <c r="D76" s="42" t="s">
        <v>169</v>
      </c>
      <c r="E76" s="43" t="s">
        <v>170</v>
      </c>
    </row>
    <row r="77" spans="1:11" ht="15.6" x14ac:dyDescent="0.3">
      <c r="B77" s="42" t="s">
        <v>181</v>
      </c>
      <c r="C77" s="42" t="s">
        <v>168</v>
      </c>
      <c r="D77" s="42" t="s">
        <v>182</v>
      </c>
      <c r="E77" s="43" t="s">
        <v>183</v>
      </c>
    </row>
    <row r="78" spans="1:11" ht="15.6" x14ac:dyDescent="0.3">
      <c r="B78" s="42" t="s">
        <v>184</v>
      </c>
      <c r="C78" s="42" t="s">
        <v>185</v>
      </c>
      <c r="D78" s="42" t="s">
        <v>186</v>
      </c>
      <c r="E78" s="43" t="s">
        <v>187</v>
      </c>
      <c r="H78" s="122" t="s">
        <v>323</v>
      </c>
      <c r="I78" s="123"/>
      <c r="J78" s="124"/>
    </row>
    <row r="79" spans="1:11" ht="15.6" x14ac:dyDescent="0.3">
      <c r="B79" s="42" t="s">
        <v>188</v>
      </c>
      <c r="C79" s="42" t="s">
        <v>168</v>
      </c>
      <c r="D79" s="42" t="s">
        <v>182</v>
      </c>
      <c r="E79" s="43" t="s">
        <v>183</v>
      </c>
      <c r="H79" s="44" t="s">
        <v>160</v>
      </c>
      <c r="I79" s="44" t="s">
        <v>161</v>
      </c>
      <c r="J79" s="44" t="s">
        <v>162</v>
      </c>
    </row>
    <row r="80" spans="1:11" ht="15.6" x14ac:dyDescent="0.3">
      <c r="B80" s="42" t="s">
        <v>189</v>
      </c>
      <c r="C80" s="42" t="s">
        <v>185</v>
      </c>
      <c r="D80" s="42" t="s">
        <v>190</v>
      </c>
      <c r="E80" s="43" t="s">
        <v>191</v>
      </c>
      <c r="H80" s="19"/>
      <c r="I80" s="19"/>
      <c r="J80" s="19"/>
    </row>
    <row r="81" spans="2:10" ht="15.6" x14ac:dyDescent="0.3">
      <c r="B81" s="42" t="s">
        <v>192</v>
      </c>
      <c r="C81" s="42" t="s">
        <v>168</v>
      </c>
      <c r="D81" s="42" t="s">
        <v>182</v>
      </c>
      <c r="E81" s="43" t="s">
        <v>183</v>
      </c>
    </row>
    <row r="82" spans="2:10" ht="15.6" x14ac:dyDescent="0.3">
      <c r="B82" s="42" t="s">
        <v>193</v>
      </c>
      <c r="C82" s="42" t="s">
        <v>164</v>
      </c>
      <c r="D82" s="42" t="s">
        <v>172</v>
      </c>
      <c r="E82" s="43" t="s">
        <v>175</v>
      </c>
      <c r="H82" s="122" t="s">
        <v>307</v>
      </c>
      <c r="I82" s="123"/>
      <c r="J82" s="124"/>
    </row>
    <row r="83" spans="2:10" ht="15.6" x14ac:dyDescent="0.3">
      <c r="B83" s="42" t="s">
        <v>194</v>
      </c>
      <c r="C83" s="42" t="s">
        <v>168</v>
      </c>
      <c r="D83" s="42" t="s">
        <v>169</v>
      </c>
      <c r="E83" s="43" t="s">
        <v>170</v>
      </c>
      <c r="H83" s="44" t="s">
        <v>160</v>
      </c>
      <c r="I83" s="44" t="s">
        <v>161</v>
      </c>
      <c r="J83" s="44" t="s">
        <v>13</v>
      </c>
    </row>
    <row r="84" spans="2:10" ht="15.6" x14ac:dyDescent="0.3">
      <c r="B84" s="42" t="s">
        <v>195</v>
      </c>
      <c r="C84" s="42" t="s">
        <v>185</v>
      </c>
      <c r="D84" s="42" t="s">
        <v>196</v>
      </c>
      <c r="E84" s="43" t="s">
        <v>197</v>
      </c>
      <c r="H84" s="19"/>
      <c r="I84" s="19"/>
      <c r="J84" s="19"/>
    </row>
    <row r="85" spans="2:10" ht="15.6" x14ac:dyDescent="0.3">
      <c r="B85" s="42" t="s">
        <v>198</v>
      </c>
      <c r="C85" s="42" t="s">
        <v>185</v>
      </c>
      <c r="D85" s="42" t="s">
        <v>196</v>
      </c>
      <c r="E85" s="43" t="s">
        <v>197</v>
      </c>
    </row>
    <row r="86" spans="2:10" ht="15.6" x14ac:dyDescent="0.3">
      <c r="B86" s="42" t="s">
        <v>199</v>
      </c>
      <c r="C86" s="42" t="s">
        <v>164</v>
      </c>
      <c r="D86" s="42" t="s">
        <v>200</v>
      </c>
      <c r="E86" s="43" t="s">
        <v>201</v>
      </c>
    </row>
    <row r="87" spans="2:10" ht="15.6" x14ac:dyDescent="0.3">
      <c r="B87" s="42" t="s">
        <v>202</v>
      </c>
      <c r="C87" s="42" t="s">
        <v>185</v>
      </c>
      <c r="D87" s="42" t="s">
        <v>196</v>
      </c>
      <c r="E87" s="43" t="s">
        <v>201</v>
      </c>
      <c r="H87" s="118" t="s">
        <v>308</v>
      </c>
      <c r="I87" s="119"/>
      <c r="J87" s="120"/>
    </row>
    <row r="88" spans="2:10" ht="15.6" x14ac:dyDescent="0.3">
      <c r="B88" s="42" t="s">
        <v>203</v>
      </c>
      <c r="C88" s="42" t="s">
        <v>164</v>
      </c>
      <c r="D88" s="42" t="s">
        <v>177</v>
      </c>
      <c r="E88" s="43" t="s">
        <v>178</v>
      </c>
      <c r="H88" s="115" t="s">
        <v>305</v>
      </c>
      <c r="I88" s="116"/>
      <c r="J88" s="117"/>
    </row>
    <row r="89" spans="2:10" ht="15.6" x14ac:dyDescent="0.3">
      <c r="B89" s="42" t="s">
        <v>204</v>
      </c>
      <c r="C89" s="42" t="s">
        <v>185</v>
      </c>
      <c r="D89" s="42" t="s">
        <v>196</v>
      </c>
      <c r="E89" s="43" t="s">
        <v>197</v>
      </c>
      <c r="G89" s="83" t="s">
        <v>158</v>
      </c>
      <c r="H89" s="62" t="s">
        <v>161</v>
      </c>
      <c r="I89" s="62" t="s">
        <v>162</v>
      </c>
      <c r="J89" s="38" t="s">
        <v>13</v>
      </c>
    </row>
    <row r="90" spans="2:10" ht="15.6" x14ac:dyDescent="0.3">
      <c r="B90" s="42" t="s">
        <v>205</v>
      </c>
      <c r="C90" s="42" t="s">
        <v>168</v>
      </c>
      <c r="D90" s="42" t="s">
        <v>182</v>
      </c>
      <c r="E90" s="43" t="s">
        <v>183</v>
      </c>
      <c r="G90" s="96"/>
      <c r="H90" s="19"/>
      <c r="I90" s="19"/>
      <c r="J90" s="19"/>
    </row>
    <row r="91" spans="2:10" ht="15.6" x14ac:dyDescent="0.3">
      <c r="B91" s="42" t="s">
        <v>206</v>
      </c>
      <c r="C91" s="42" t="s">
        <v>164</v>
      </c>
      <c r="D91" s="42" t="s">
        <v>172</v>
      </c>
      <c r="E91" s="43" t="s">
        <v>175</v>
      </c>
      <c r="G91" s="96"/>
      <c r="H91" s="19"/>
      <c r="I91" s="19"/>
      <c r="J91" s="19"/>
    </row>
    <row r="92" spans="2:10" x14ac:dyDescent="0.3">
      <c r="G92" s="96"/>
      <c r="H92" s="19"/>
      <c r="I92" s="19"/>
      <c r="J92" s="19"/>
    </row>
    <row r="93" spans="2:10" ht="15.6" x14ac:dyDescent="0.3">
      <c r="E93" s="44" t="s">
        <v>161</v>
      </c>
      <c r="G93" s="96"/>
      <c r="H93" s="19"/>
      <c r="I93" s="19"/>
      <c r="J93" s="19"/>
    </row>
    <row r="94" spans="2:10" x14ac:dyDescent="0.3">
      <c r="E94" s="19" t="s">
        <v>168</v>
      </c>
      <c r="G94" s="96"/>
      <c r="H94" s="19"/>
      <c r="I94" s="19"/>
      <c r="J94" s="19"/>
    </row>
    <row r="95" spans="2:10" x14ac:dyDescent="0.3">
      <c r="G95" s="96"/>
      <c r="H95" s="19"/>
      <c r="I95" s="19"/>
      <c r="J95" s="19"/>
    </row>
    <row r="96" spans="2:10" x14ac:dyDescent="0.3">
      <c r="G96" s="96"/>
      <c r="H96" s="19"/>
      <c r="I96" s="19"/>
      <c r="J96" s="19"/>
    </row>
    <row r="97" spans="7:10" x14ac:dyDescent="0.3">
      <c r="G97" s="96"/>
      <c r="H97" s="19"/>
      <c r="I97" s="19"/>
      <c r="J97" s="19"/>
    </row>
    <row r="98" spans="7:10" x14ac:dyDescent="0.3">
      <c r="G98" s="96"/>
      <c r="H98" s="19"/>
      <c r="I98" s="19"/>
      <c r="J98" s="19"/>
    </row>
    <row r="99" spans="7:10" x14ac:dyDescent="0.3">
      <c r="G99" s="96"/>
      <c r="H99" s="19"/>
      <c r="I99" s="19"/>
      <c r="J99" s="19"/>
    </row>
    <row r="100" spans="7:10" x14ac:dyDescent="0.3">
      <c r="G100" s="96"/>
      <c r="H100" s="19"/>
      <c r="I100" s="19"/>
      <c r="J100" s="19"/>
    </row>
    <row r="101" spans="7:10" x14ac:dyDescent="0.3">
      <c r="G101" s="96"/>
      <c r="H101" s="19"/>
      <c r="I101" s="19"/>
      <c r="J101" s="19"/>
    </row>
    <row r="102" spans="7:10" x14ac:dyDescent="0.3">
      <c r="G102" s="96"/>
      <c r="H102" s="19"/>
      <c r="I102" s="19"/>
      <c r="J102" s="19"/>
    </row>
    <row r="103" spans="7:10" x14ac:dyDescent="0.3">
      <c r="G103" s="96"/>
      <c r="H103" s="19"/>
      <c r="I103" s="19"/>
      <c r="J103" s="19"/>
    </row>
    <row r="104" spans="7:10" x14ac:dyDescent="0.3">
      <c r="G104" s="96"/>
      <c r="H104" s="19"/>
      <c r="I104" s="19"/>
      <c r="J104" s="19"/>
    </row>
    <row r="105" spans="7:10" x14ac:dyDescent="0.3">
      <c r="G105" s="96"/>
      <c r="H105" s="19"/>
      <c r="I105" s="19"/>
      <c r="J105" s="19"/>
    </row>
    <row r="106" spans="7:10" x14ac:dyDescent="0.3">
      <c r="G106" s="96"/>
      <c r="H106" s="19"/>
      <c r="I106" s="19"/>
      <c r="J106" s="19"/>
    </row>
    <row r="107" spans="7:10" x14ac:dyDescent="0.3">
      <c r="G107" s="96"/>
      <c r="H107" s="19"/>
      <c r="I107" s="19"/>
      <c r="J107" s="19"/>
    </row>
    <row r="108" spans="7:10" x14ac:dyDescent="0.3">
      <c r="G108" s="96"/>
      <c r="H108" s="19"/>
      <c r="I108" s="19"/>
      <c r="J108" s="19"/>
    </row>
    <row r="109" spans="7:10" x14ac:dyDescent="0.3">
      <c r="G109" s="96"/>
      <c r="H109" s="19"/>
      <c r="I109" s="19"/>
      <c r="J109" s="19"/>
    </row>
    <row r="110" spans="7:10" x14ac:dyDescent="0.3">
      <c r="G110" s="96"/>
      <c r="H110" s="19"/>
      <c r="I110" s="19"/>
      <c r="J110" s="19"/>
    </row>
    <row r="111" spans="7:10" x14ac:dyDescent="0.3">
      <c r="G111" s="96"/>
      <c r="H111" s="19"/>
      <c r="I111" s="19"/>
      <c r="J111" s="19"/>
    </row>
  </sheetData>
  <mergeCells count="13">
    <mergeCell ref="B68:E68"/>
    <mergeCell ref="H88:J88"/>
    <mergeCell ref="H87:J87"/>
    <mergeCell ref="H73:K73"/>
    <mergeCell ref="H78:J78"/>
    <mergeCell ref="H82:J82"/>
    <mergeCell ref="B57:E57"/>
    <mergeCell ref="B2:E2"/>
    <mergeCell ref="B12:D12"/>
    <mergeCell ref="B23:D23"/>
    <mergeCell ref="B34:F34"/>
    <mergeCell ref="B42:G42"/>
    <mergeCell ref="B51:G5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K40"/>
  <sheetViews>
    <sheetView workbookViewId="0">
      <selection activeCell="H4" sqref="H4"/>
    </sheetView>
  </sheetViews>
  <sheetFormatPr defaultRowHeight="14.4" x14ac:dyDescent="0.3"/>
  <cols>
    <col min="1" max="1" width="7.6640625" bestFit="1" customWidth="1"/>
    <col min="2" max="2" width="15.33203125" bestFit="1" customWidth="1"/>
    <col min="3" max="3" width="13.44140625" customWidth="1"/>
    <col min="4" max="4" width="16.33203125" customWidth="1"/>
    <col min="5" max="5" width="12.77734375" bestFit="1" customWidth="1"/>
    <col min="6" max="6" width="12.5546875" bestFit="1" customWidth="1"/>
    <col min="7" max="7" width="16.109375" bestFit="1" customWidth="1"/>
    <col min="8" max="8" width="19.44140625" customWidth="1"/>
    <col min="9" max="9" width="12.44140625" bestFit="1" customWidth="1"/>
    <col min="10" max="10" width="15.44140625" bestFit="1" customWidth="1"/>
    <col min="11" max="11" width="19" customWidth="1"/>
    <col min="13" max="13" width="11.44140625" bestFit="1" customWidth="1"/>
  </cols>
  <sheetData>
    <row r="3" spans="2:11" ht="21" x14ac:dyDescent="0.4">
      <c r="B3" s="125" t="s">
        <v>207</v>
      </c>
      <c r="C3" s="125"/>
      <c r="D3" s="125"/>
      <c r="E3" s="125"/>
    </row>
    <row r="4" spans="2:11" ht="18.600000000000001" customHeight="1" x14ac:dyDescent="0.3">
      <c r="B4" s="48" t="s">
        <v>158</v>
      </c>
      <c r="C4" s="49" t="s">
        <v>62</v>
      </c>
      <c r="D4" s="49" t="s">
        <v>138</v>
      </c>
      <c r="E4" s="49" t="s">
        <v>139</v>
      </c>
      <c r="G4" s="49" t="s">
        <v>62</v>
      </c>
      <c r="H4" s="65" t="s">
        <v>309</v>
      </c>
      <c r="J4" s="66" t="s">
        <v>158</v>
      </c>
      <c r="K4" s="49" t="s">
        <v>62</v>
      </c>
    </row>
    <row r="5" spans="2:11" ht="15.6" x14ac:dyDescent="0.3">
      <c r="B5" s="50">
        <v>1</v>
      </c>
      <c r="C5" s="51" t="s">
        <v>140</v>
      </c>
      <c r="D5" s="51" t="s">
        <v>141</v>
      </c>
      <c r="E5" s="51">
        <v>120</v>
      </c>
      <c r="G5" s="19"/>
      <c r="H5" s="19"/>
      <c r="J5" s="19">
        <v>3</v>
      </c>
      <c r="K5" s="19">
        <f>MATCH(J5,B4:B9,0)</f>
        <v>4</v>
      </c>
    </row>
    <row r="6" spans="2:11" ht="15.6" x14ac:dyDescent="0.3">
      <c r="B6" s="50">
        <v>2</v>
      </c>
      <c r="C6" s="51" t="s">
        <v>142</v>
      </c>
      <c r="D6" s="51" t="s">
        <v>123</v>
      </c>
      <c r="E6" s="51">
        <v>200</v>
      </c>
    </row>
    <row r="7" spans="2:11" ht="15.6" x14ac:dyDescent="0.3">
      <c r="B7" s="50">
        <v>3</v>
      </c>
      <c r="C7" s="51" t="s">
        <v>143</v>
      </c>
      <c r="D7" s="51" t="s">
        <v>144</v>
      </c>
      <c r="E7" s="51">
        <v>150</v>
      </c>
    </row>
    <row r="8" spans="2:11" ht="15.6" x14ac:dyDescent="0.3">
      <c r="B8" s="50">
        <v>4</v>
      </c>
      <c r="C8" s="51" t="s">
        <v>145</v>
      </c>
      <c r="D8" s="51" t="s">
        <v>141</v>
      </c>
      <c r="E8" s="51">
        <v>180</v>
      </c>
    </row>
    <row r="9" spans="2:11" ht="15.6" x14ac:dyDescent="0.3">
      <c r="B9" s="50">
        <v>5</v>
      </c>
      <c r="C9" s="51" t="s">
        <v>146</v>
      </c>
      <c r="D9" s="51" t="s">
        <v>123</v>
      </c>
      <c r="E9" s="51">
        <v>140</v>
      </c>
    </row>
    <row r="21" spans="1:11" ht="15.6" x14ac:dyDescent="0.3">
      <c r="A21" s="52" t="s">
        <v>209</v>
      </c>
      <c r="B21" s="52" t="s">
        <v>210</v>
      </c>
      <c r="C21" s="52" t="s">
        <v>211</v>
      </c>
      <c r="D21" s="52" t="s">
        <v>212</v>
      </c>
      <c r="E21" s="52" t="s">
        <v>213</v>
      </c>
      <c r="F21" s="52" t="s">
        <v>214</v>
      </c>
      <c r="G21" s="52" t="s">
        <v>215</v>
      </c>
      <c r="H21" s="52" t="s">
        <v>216</v>
      </c>
      <c r="J21" s="52" t="s">
        <v>209</v>
      </c>
      <c r="K21" s="52" t="s">
        <v>216</v>
      </c>
    </row>
    <row r="22" spans="1:11" x14ac:dyDescent="0.3">
      <c r="A22" s="53">
        <v>101</v>
      </c>
      <c r="B22" s="54" t="s">
        <v>217</v>
      </c>
      <c r="C22" s="54" t="s">
        <v>218</v>
      </c>
      <c r="D22" s="54" t="s">
        <v>219</v>
      </c>
      <c r="E22" s="54" t="s">
        <v>220</v>
      </c>
      <c r="F22" s="54" t="s">
        <v>221</v>
      </c>
      <c r="G22" s="54" t="s">
        <v>222</v>
      </c>
      <c r="H22" s="54" t="s">
        <v>223</v>
      </c>
    </row>
    <row r="23" spans="1:11" x14ac:dyDescent="0.3">
      <c r="A23" s="53">
        <v>102</v>
      </c>
      <c r="B23" s="54" t="s">
        <v>224</v>
      </c>
      <c r="C23" s="54" t="s">
        <v>225</v>
      </c>
      <c r="D23" s="54" t="s">
        <v>226</v>
      </c>
      <c r="E23" s="54" t="s">
        <v>227</v>
      </c>
      <c r="F23" s="54" t="s">
        <v>228</v>
      </c>
      <c r="G23" s="54" t="s">
        <v>229</v>
      </c>
      <c r="H23" s="54" t="s">
        <v>230</v>
      </c>
    </row>
    <row r="24" spans="1:11" x14ac:dyDescent="0.3">
      <c r="A24" s="53">
        <v>103</v>
      </c>
      <c r="B24" s="54" t="s">
        <v>231</v>
      </c>
      <c r="C24" s="54" t="s">
        <v>232</v>
      </c>
      <c r="D24" s="54" t="s">
        <v>233</v>
      </c>
      <c r="E24" s="54" t="s">
        <v>220</v>
      </c>
      <c r="F24" s="54" t="s">
        <v>234</v>
      </c>
      <c r="G24" s="54" t="s">
        <v>235</v>
      </c>
      <c r="H24" s="54" t="s">
        <v>230</v>
      </c>
    </row>
    <row r="25" spans="1:11" x14ac:dyDescent="0.3">
      <c r="A25" s="53">
        <v>104</v>
      </c>
      <c r="B25" s="54" t="s">
        <v>231</v>
      </c>
      <c r="C25" s="54" t="s">
        <v>236</v>
      </c>
      <c r="D25" s="54" t="s">
        <v>237</v>
      </c>
      <c r="E25" s="54" t="s">
        <v>238</v>
      </c>
      <c r="F25" s="54" t="s">
        <v>239</v>
      </c>
      <c r="G25" s="54" t="s">
        <v>239</v>
      </c>
      <c r="H25" s="54" t="s">
        <v>240</v>
      </c>
    </row>
    <row r="26" spans="1:11" x14ac:dyDescent="0.3">
      <c r="A26" s="53">
        <v>105</v>
      </c>
      <c r="B26" s="54" t="s">
        <v>217</v>
      </c>
      <c r="C26" s="54" t="s">
        <v>241</v>
      </c>
      <c r="D26" s="54" t="s">
        <v>219</v>
      </c>
      <c r="E26" s="54" t="s">
        <v>220</v>
      </c>
      <c r="F26" s="54" t="s">
        <v>242</v>
      </c>
      <c r="G26" s="54" t="s">
        <v>242</v>
      </c>
      <c r="H26" s="54" t="s">
        <v>243</v>
      </c>
    </row>
    <row r="27" spans="1:11" x14ac:dyDescent="0.3">
      <c r="A27" s="53">
        <v>106</v>
      </c>
      <c r="B27" s="54" t="s">
        <v>224</v>
      </c>
      <c r="C27" s="54" t="s">
        <v>244</v>
      </c>
      <c r="D27" s="54" t="s">
        <v>245</v>
      </c>
      <c r="E27" s="54" t="s">
        <v>227</v>
      </c>
      <c r="F27" s="54" t="s">
        <v>246</v>
      </c>
      <c r="G27" s="54" t="s">
        <v>229</v>
      </c>
      <c r="H27" s="54" t="s">
        <v>230</v>
      </c>
    </row>
    <row r="28" spans="1:11" ht="15.6" x14ac:dyDescent="0.3">
      <c r="A28" s="53">
        <v>107</v>
      </c>
      <c r="B28" s="54" t="s">
        <v>231</v>
      </c>
      <c r="C28" s="54" t="s">
        <v>247</v>
      </c>
      <c r="D28" s="55" t="s">
        <v>248</v>
      </c>
      <c r="E28" s="54" t="s">
        <v>220</v>
      </c>
      <c r="F28" s="54" t="s">
        <v>249</v>
      </c>
      <c r="G28" s="54" t="s">
        <v>250</v>
      </c>
      <c r="H28" s="54" t="s">
        <v>251</v>
      </c>
    </row>
    <row r="29" spans="1:11" x14ac:dyDescent="0.3">
      <c r="A29" s="53">
        <v>108</v>
      </c>
      <c r="B29" s="54" t="s">
        <v>252</v>
      </c>
      <c r="C29" s="54" t="s">
        <v>253</v>
      </c>
      <c r="D29" s="54" t="s">
        <v>254</v>
      </c>
      <c r="E29" s="54" t="s">
        <v>220</v>
      </c>
      <c r="F29" s="54" t="s">
        <v>255</v>
      </c>
      <c r="G29" s="54" t="s">
        <v>256</v>
      </c>
      <c r="H29" s="54" t="s">
        <v>251</v>
      </c>
    </row>
    <row r="30" spans="1:11" x14ac:dyDescent="0.3">
      <c r="A30" s="53">
        <v>109</v>
      </c>
      <c r="B30" s="54" t="s">
        <v>252</v>
      </c>
      <c r="C30" s="54" t="s">
        <v>257</v>
      </c>
      <c r="D30" s="54" t="s">
        <v>258</v>
      </c>
      <c r="E30" s="54" t="s">
        <v>227</v>
      </c>
      <c r="F30" s="54" t="s">
        <v>259</v>
      </c>
      <c r="G30" s="54" t="s">
        <v>260</v>
      </c>
      <c r="H30" s="54" t="s">
        <v>223</v>
      </c>
    </row>
    <row r="31" spans="1:11" x14ac:dyDescent="0.3">
      <c r="A31" s="53">
        <v>110</v>
      </c>
      <c r="B31" s="54" t="s">
        <v>224</v>
      </c>
      <c r="C31" s="54" t="s">
        <v>261</v>
      </c>
      <c r="D31" s="54" t="s">
        <v>262</v>
      </c>
      <c r="E31" s="54" t="s">
        <v>220</v>
      </c>
      <c r="F31" s="54" t="s">
        <v>263</v>
      </c>
      <c r="G31" s="54" t="s">
        <v>264</v>
      </c>
      <c r="H31" s="54" t="s">
        <v>223</v>
      </c>
    </row>
    <row r="32" spans="1:11" x14ac:dyDescent="0.3">
      <c r="A32" s="53">
        <v>111</v>
      </c>
      <c r="B32" s="54" t="s">
        <v>224</v>
      </c>
      <c r="C32" s="54" t="s">
        <v>265</v>
      </c>
      <c r="D32" s="54" t="s">
        <v>266</v>
      </c>
      <c r="E32" s="54" t="s">
        <v>227</v>
      </c>
      <c r="F32" s="54" t="s">
        <v>267</v>
      </c>
      <c r="G32" s="54" t="s">
        <v>268</v>
      </c>
      <c r="H32" s="54" t="s">
        <v>223</v>
      </c>
    </row>
    <row r="33" spans="1:8" x14ac:dyDescent="0.3">
      <c r="A33" s="53">
        <v>112</v>
      </c>
      <c r="B33" s="54" t="s">
        <v>231</v>
      </c>
      <c r="C33" s="54" t="s">
        <v>269</v>
      </c>
      <c r="D33" s="54" t="s">
        <v>270</v>
      </c>
      <c r="E33" s="54" t="s">
        <v>227</v>
      </c>
      <c r="F33" s="54" t="s">
        <v>271</v>
      </c>
      <c r="G33" s="54" t="s">
        <v>271</v>
      </c>
      <c r="H33" s="54" t="s">
        <v>272</v>
      </c>
    </row>
    <row r="34" spans="1:8" x14ac:dyDescent="0.3">
      <c r="A34" s="53">
        <v>113</v>
      </c>
      <c r="B34" s="54" t="s">
        <v>224</v>
      </c>
      <c r="C34" s="54" t="s">
        <v>273</v>
      </c>
      <c r="D34" s="54" t="s">
        <v>274</v>
      </c>
      <c r="E34" s="54" t="s">
        <v>220</v>
      </c>
      <c r="F34" s="54" t="s">
        <v>275</v>
      </c>
      <c r="G34" s="54" t="s">
        <v>275</v>
      </c>
      <c r="H34" s="54" t="s">
        <v>276</v>
      </c>
    </row>
    <row r="35" spans="1:8" x14ac:dyDescent="0.3">
      <c r="A35" s="53">
        <v>114</v>
      </c>
      <c r="B35" s="54" t="s">
        <v>217</v>
      </c>
      <c r="C35" s="54" t="s">
        <v>277</v>
      </c>
      <c r="D35" s="54" t="s">
        <v>278</v>
      </c>
      <c r="E35" s="54" t="s">
        <v>238</v>
      </c>
      <c r="F35" s="54" t="s">
        <v>279</v>
      </c>
      <c r="G35" s="54" t="s">
        <v>280</v>
      </c>
      <c r="H35" s="54" t="s">
        <v>281</v>
      </c>
    </row>
    <row r="36" spans="1:8" x14ac:dyDescent="0.3">
      <c r="A36" s="53">
        <v>115</v>
      </c>
      <c r="B36" s="54" t="s">
        <v>224</v>
      </c>
      <c r="C36" s="54" t="s">
        <v>282</v>
      </c>
      <c r="D36" s="54" t="s">
        <v>283</v>
      </c>
      <c r="E36" s="54" t="s">
        <v>220</v>
      </c>
      <c r="F36" s="54" t="s">
        <v>284</v>
      </c>
      <c r="G36" s="54" t="s">
        <v>285</v>
      </c>
      <c r="H36" s="54" t="s">
        <v>286</v>
      </c>
    </row>
    <row r="37" spans="1:8" x14ac:dyDescent="0.3">
      <c r="A37" s="53">
        <v>116</v>
      </c>
      <c r="B37" s="54" t="s">
        <v>224</v>
      </c>
      <c r="C37" s="54" t="s">
        <v>287</v>
      </c>
      <c r="D37" s="54" t="s">
        <v>288</v>
      </c>
      <c r="E37" s="54" t="s">
        <v>227</v>
      </c>
      <c r="F37" s="54" t="s">
        <v>289</v>
      </c>
      <c r="G37" s="54" t="s">
        <v>290</v>
      </c>
      <c r="H37" s="54" t="s">
        <v>291</v>
      </c>
    </row>
    <row r="38" spans="1:8" x14ac:dyDescent="0.3">
      <c r="A38" s="53">
        <v>117</v>
      </c>
      <c r="B38" s="54" t="s">
        <v>224</v>
      </c>
      <c r="C38" s="54" t="s">
        <v>292</v>
      </c>
      <c r="D38" s="54" t="s">
        <v>293</v>
      </c>
      <c r="E38" s="54" t="s">
        <v>227</v>
      </c>
      <c r="F38" s="54" t="s">
        <v>294</v>
      </c>
      <c r="G38" s="54" t="s">
        <v>295</v>
      </c>
      <c r="H38" s="54" t="s">
        <v>223</v>
      </c>
    </row>
    <row r="39" spans="1:8" x14ac:dyDescent="0.3">
      <c r="A39" s="53">
        <v>118</v>
      </c>
      <c r="B39" s="54" t="s">
        <v>252</v>
      </c>
      <c r="C39" s="54" t="s">
        <v>296</v>
      </c>
      <c r="D39" s="54" t="s">
        <v>297</v>
      </c>
      <c r="E39" s="54" t="s">
        <v>227</v>
      </c>
      <c r="F39" s="54" t="s">
        <v>298</v>
      </c>
      <c r="G39" s="54" t="s">
        <v>299</v>
      </c>
      <c r="H39" s="54" t="s">
        <v>300</v>
      </c>
    </row>
    <row r="40" spans="1:8" x14ac:dyDescent="0.3">
      <c r="A40" s="53">
        <v>119</v>
      </c>
      <c r="B40" s="54" t="s">
        <v>231</v>
      </c>
      <c r="C40" s="54" t="s">
        <v>301</v>
      </c>
      <c r="D40" s="54" t="s">
        <v>302</v>
      </c>
      <c r="E40" s="54" t="s">
        <v>227</v>
      </c>
      <c r="F40" s="54" t="s">
        <v>303</v>
      </c>
      <c r="G40" s="54" t="s">
        <v>235</v>
      </c>
      <c r="H40" s="54" t="s">
        <v>230</v>
      </c>
    </row>
  </sheetData>
  <mergeCells count="1">
    <mergeCell ref="B3:E3"/>
  </mergeCells>
  <dataValidations count="2">
    <dataValidation type="list" allowBlank="1" showInputMessage="1" showErrorMessage="1" sqref="J22">
      <formula1>$A$22:$A$40</formula1>
    </dataValidation>
    <dataValidation type="list" allowBlank="1" showInputMessage="1" showErrorMessage="1" sqref="K4">
      <formula1>$C$4:$E$4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PRACTICE</vt:lpstr>
      <vt:lpstr>Series</vt:lpstr>
      <vt:lpstr>TEXT Function</vt:lpstr>
      <vt:lpstr>STATISTICAL FUNCTION</vt:lpstr>
      <vt:lpstr>Conditional function</vt:lpstr>
      <vt:lpstr>DATE &amp; TIME FUNCTION</vt:lpstr>
      <vt:lpstr>LOOKUP &amp; VLOOKUP</vt:lpstr>
      <vt:lpstr>INDEX &amp; MATCH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2025-01-31T11:45:12Z</cp:lastPrinted>
  <dcterms:created xsi:type="dcterms:W3CDTF">2024-12-15T10:31:54Z</dcterms:created>
  <dcterms:modified xsi:type="dcterms:W3CDTF">2026-01-08T03:59:19Z</dcterms:modified>
</cp:coreProperties>
</file>